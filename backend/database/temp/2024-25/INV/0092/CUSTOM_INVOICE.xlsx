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 INVOICE" state="visible" r:id="rId4"/>
  </sheets>
  <calcPr calcId="171027" fullCalcOnLoad="1"/>
</workbook>
</file>

<file path=xl/sharedStrings.xml><?xml version="1.0" encoding="utf-8"?>
<sst xmlns="http://schemas.openxmlformats.org/spreadsheetml/2006/main" count="137" uniqueCount="106">
  <si>
    <t>CUSTOMS INVOICE</t>
  </si>
  <si>
    <t>“SUPPLY MEANT FOR EXPORT WITH PAYMENT OF INTEGRATED TAX (IGST)”</t>
  </si>
  <si>
    <t>EXPORTER:</t>
  </si>
  <si>
    <t>Invoice No. &amp; Date:</t>
  </si>
  <si>
    <t>Exporter’s Ref.:</t>
  </si>
  <si>
    <t xml:space="preserve">ZERIC CERAMICA
SECOND FLOOR, OFFICE NO 7, ISHAN CERAMIC ZONE WING D,
LALPAR, MORBI
GUJARAT 363642
INDIA</t>
  </si>
  <si>
    <t>INV/0092/2024-25</t>
  </si>
  <si>
    <t xml:space="preserve">I. E. Code #: AACFZ6694H
PAN No #: AACFZ6694H
GSTIN No #: 24AACFZ6694H1ZP
STATE CODE : 24</t>
  </si>
  <si>
    <t>Dt. 18/2/2025</t>
  </si>
  <si>
    <t>Buyer's Order no. &amp; Date</t>
  </si>
  <si>
    <t>Exp/0109/2024-25    24/12/2024</t>
  </si>
  <si>
    <t>EMAIL:</t>
  </si>
  <si>
    <t>info@zericceramic.com</t>
  </si>
  <si>
    <t>TAX ID:</t>
  </si>
  <si>
    <t>24AACFZ6694H1ZP</t>
  </si>
  <si>
    <t xml:space="preserve">PO No: </t>
  </si>
  <si>
    <t>Consignee:</t>
  </si>
  <si>
    <t>Notify Party # :</t>
  </si>
  <si>
    <t>TO THE ORDER</t>
  </si>
  <si>
    <t>P.H.L.</t>
  </si>
  <si>
    <t>Pre-Carriage By</t>
  </si>
  <si>
    <t>Place of Receipt by Pre-Carrier</t>
  </si>
  <si>
    <r>
      <rPr/>
      <t xml:space="preserve">Country of Origin of Goods : </t>
    </r>
    <r>
      <rPr>
        <b/>
      </rPr>
      <t>INDIA</t>
    </r>
  </si>
  <si>
    <t>Country of Final Destination</t>
  </si>
  <si>
    <t/>
  </si>
  <si>
    <t>MORBI</t>
  </si>
  <si>
    <t>ORIGIN : -</t>
  </si>
  <si>
    <t>ZAMBIA</t>
  </si>
  <si>
    <t>Vessel Flight No.</t>
  </si>
  <si>
    <t>Port of Loading</t>
  </si>
  <si>
    <t>Terms of Delivery &amp; Payment :-</t>
  </si>
  <si>
    <t>MUNDRA</t>
  </si>
  <si>
    <t>CIF AT Dar es Salaam PORT</t>
  </si>
  <si>
    <t>Port of Discharge</t>
  </si>
  <si>
    <t>Final Destination</t>
  </si>
  <si>
    <t xml:space="preserve">PAYMENT : USD 20000 ADVANCE REMAINING  AGAINST SCAN OF B/L </t>
  </si>
  <si>
    <t>Dar es Salaam</t>
  </si>
  <si>
    <t>SHIPPING - THROUGH SEA</t>
  </si>
  <si>
    <t>USD RATE:</t>
  </si>
  <si>
    <t>Marks &amp; Nos.</t>
  </si>
  <si>
    <t>Description of Goods</t>
  </si>
  <si>
    <t>QUANTITY</t>
  </si>
  <si>
    <t>UNIT TYPE</t>
  </si>
  <si>
    <t>RATE PER</t>
  </si>
  <si>
    <t>AMOUNT/</t>
  </si>
  <si>
    <t>1 X 40' FCL</t>
  </si>
  <si>
    <t>PKGS</t>
  </si>
  <si>
    <t>PIECES/SET</t>
  </si>
  <si>
    <t>UNIT (USD)</t>
  </si>
  <si>
    <t>IN (USD)</t>
  </si>
  <si>
    <t>SR NO.</t>
  </si>
  <si>
    <t>HSN CODE</t>
  </si>
  <si>
    <t>CERAMIC SANITARYWARE</t>
  </si>
  <si>
    <t>EWC - P 8104</t>
  </si>
  <si>
    <t>PIECES</t>
  </si>
  <si>
    <t>ALONY 7002 BASIN</t>
  </si>
  <si>
    <t>DEVON 7022 BASIN</t>
  </si>
  <si>
    <t>HACX 7027 BASIN</t>
  </si>
  <si>
    <t>GARNEL 7007 BASIN</t>
  </si>
  <si>
    <t>ROCIO 9004 URINAL</t>
  </si>
  <si>
    <t>NANO URINAL</t>
  </si>
  <si>
    <t>JOMO 7006 BASIN</t>
  </si>
  <si>
    <t>GIONA / ISLA BASIN</t>
  </si>
  <si>
    <t>SET</t>
  </si>
  <si>
    <t>18x12x6 BASIN</t>
  </si>
  <si>
    <t>24x18x8 BASIN</t>
  </si>
  <si>
    <t>FORTUNER - 107 BASIN</t>
  </si>
  <si>
    <t>FORTUNER - WHITE BASIN</t>
  </si>
  <si>
    <t>MOTTO-WHITE</t>
  </si>
  <si>
    <t>CELLING FAN ITC</t>
  </si>
  <si>
    <t>CELLING FAN</t>
  </si>
  <si>
    <t>BATH WARE</t>
  </si>
  <si>
    <t>1102-Pillarcock(Neo)</t>
  </si>
  <si>
    <t xml:space="preserve">1107-Big Pilllarcock(Neo) </t>
  </si>
  <si>
    <t xml:space="preserve">1108-Highneck Pillarcock(Neo) </t>
  </si>
  <si>
    <t xml:space="preserve">1109-2Way Bibcock(Neo) </t>
  </si>
  <si>
    <t>1112-Wallmixer(Neo)</t>
  </si>
  <si>
    <t xml:space="preserve">1113-Wallmixer (3 in 1)(Neo) </t>
  </si>
  <si>
    <t>123A-Conceal Stopcock with Upperpart(Neo) Set</t>
  </si>
  <si>
    <t>1119-Diverter Upperpart(Neo)</t>
  </si>
  <si>
    <t>111-Highflow Diverter Body</t>
  </si>
  <si>
    <t>1120-2way Anglecock</t>
  </si>
  <si>
    <t>1121-Spout (2 in 1)(Neo)</t>
  </si>
  <si>
    <t>1122-Spout (Neo)</t>
  </si>
  <si>
    <t xml:space="preserve"> Round Flanch</t>
  </si>
  <si>
    <t>CERTIFIED THAT GOODS ARE OF INDIAN ORIGIN</t>
  </si>
  <si>
    <t>Export Under Duty Drawback Scheme</t>
  </si>
  <si>
    <t xml:space="preserve">I/we shall claim under chapter 3 incentive of FTP as admissible at time policy in force - MEIS, RODTEP </t>
  </si>
  <si>
    <t xml:space="preserve">NET WT. (KGS): </t>
  </si>
  <si>
    <t>16784</t>
  </si>
  <si>
    <t xml:space="preserve">GROSS WT.(KGS): </t>
  </si>
  <si>
    <t>18097</t>
  </si>
  <si>
    <t>Nos. of Kind Packages</t>
  </si>
  <si>
    <t>Total     &gt;&gt;&gt;&gt;&gt;&gt;&gt;&gt;&gt;&gt;</t>
  </si>
  <si>
    <t>CIF USD</t>
  </si>
  <si>
    <t>TOTAL CIF USD:</t>
  </si>
  <si>
    <t>INSURANCE</t>
  </si>
  <si>
    <t>TWENTY EIGHT THOUSAND TWO HUNDRED AND TWENTY THREE ONLY.</t>
  </si>
  <si>
    <t>FREIGHT</t>
  </si>
  <si>
    <t>TOTAL CIF USD</t>
  </si>
  <si>
    <t>EXPORT UNDER GST CIRCULAR NO. 26/2017 Customs DT.01/07/2017</t>
  </si>
  <si>
    <t xml:space="preserve">SUPPLY MEANT FOR EXPORT ON PAYMENT OF IGST UNDER CLAIM OF REFUND RS. TOTAL : 440452.35
(TAXABLE CIF INR VALUE 2446957.51@ 18%)                                                                            440452.35  </t>
  </si>
  <si>
    <t>Signature &amp; Date</t>
  </si>
  <si>
    <t>For, ZERIC CERAMICA</t>
  </si>
  <si>
    <t>Declaration:We declare that this invoice shows the actual price of the goods described and that all particulars are true and correct.</t>
  </si>
  <si>
    <t>AUTHORISED SIGN.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</si>
</sst>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sz val="10"/>
    </font>
    <font>
      <b/>
      <i/>
      <sz val="10"/>
    </font>
    <font>
      <b/>
      <u/>
      <sz val="10"/>
    </font>
    <font>
      <sz val="10"/>
    </font>
    <font>
      <b/>
      <color rgb="FFFF0000"/>
      <sz val="10"/>
    </font>
    <font>
      <color rgb="FFFF0000"/>
      <sz val="10"/>
    </font>
    <font>
      <color rgb="FFFF0000"/>
      <sz val="10"/>
      <name val="Arial"/>
    </font>
    <font>
      <b/>
      <sz val="8"/>
    </font>
    <font>
      <b/>
      <sz val="12"/>
    </font>
    <font>
      <sz val="12"/>
    </font>
    <font>
      <sz val="10"/>
      <name val="Arial"/>
    </font>
    <font>
      <u/>
      <sz val="10"/>
    </font>
    <font>
      <i/>
      <sz val="10"/>
    </font>
    <font>
      <i/>
      <color rgb="FFFF0000"/>
      <sz val="10"/>
      <name val="Arial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/>
      <right style="medium"/>
      <top style="medium"/>
      <bottom style="thin"/>
      <diagonal/>
    </border>
    <border>
      <left style="medium"/>
      <right style="medium"/>
      <top style="thin"/>
      <bottom style="thin"/>
      <diagonal/>
    </border>
    <border>
      <left style="medium"/>
      <right/>
      <top/>
      <bottom/>
      <diagonal/>
    </border>
    <border>
      <left style="thin"/>
      <right style="thin"/>
      <top style="thin"/>
      <bottom/>
      <diagonal/>
    </border>
    <border>
      <left style="thin"/>
      <right style="medium"/>
      <top style="thin"/>
      <bottom/>
      <diagonal/>
    </border>
    <border>
      <left style="medium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medium"/>
      <top/>
      <bottom style="thin"/>
      <diagonal/>
    </border>
    <border>
      <left style="thin"/>
      <right style="thin"/>
      <top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medium"/>
      <right/>
      <top style="thin"/>
      <bottom/>
      <diagonal/>
    </border>
    <border>
      <left/>
      <right style="thin"/>
      <top style="thin"/>
      <bottom/>
      <diagonal/>
    </border>
    <border>
      <left style="medium"/>
      <right/>
      <top/>
      <bottom style="thin"/>
      <diagonal/>
    </border>
    <border>
      <left/>
      <right style="thin"/>
      <top/>
      <bottom style="thin"/>
      <diagonal/>
    </border>
    <border>
      <left style="medium"/>
      <right style="thin"/>
      <top style="thin"/>
      <bottom/>
      <diagonal/>
    </border>
    <border>
      <left style="medium"/>
      <right style="medium"/>
      <top style="medium"/>
      <bottom/>
      <diagonal/>
    </border>
    <border>
      <left style="medium"/>
      <right style="thin"/>
      <top/>
      <bottom style="thin"/>
      <diagonal/>
    </border>
    <border>
      <left style="medium"/>
      <right style="medium"/>
      <top/>
      <bottom style="medium"/>
      <diagonal/>
    </border>
    <border>
      <left style="thin"/>
      <right style="medium"/>
      <top/>
      <bottom/>
      <diagonal/>
    </border>
    <border>
      <left style="thin"/>
      <right/>
      <top/>
      <bottom style="thin"/>
      <diagonal/>
    </border>
    <border>
      <left style="medium"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medium"/>
      <top style="thin"/>
      <bottom style="thin"/>
      <diagonal/>
    </border>
    <border>
      <left style="thin"/>
      <right style="medium"/>
      <top style="thin"/>
      <bottom style="thin"/>
      <diagonal/>
    </border>
    <border>
      <left/>
      <right style="medium"/>
      <top/>
      <bottom/>
      <diagonal/>
    </border>
    <border>
      <left style="medium"/>
      <right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medium"/>
      <top/>
      <bottom style="medium"/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3" xfId="0" applyFont="1" applyBorder="1" applyAlignment="1">
      <alignment vertical="top" wrapText="1"/>
    </xf>
    <xf numFmtId="0" fontId="1" fillId="0" borderId="4" xfId="0" applyFont="1" applyBorder="1" applyAlignment="1">
      <alignment horizontal="center"/>
    </xf>
    <xf numFmtId="0" fontId="1" fillId="0" borderId="5" xfId="0" applyFont="1" applyBorder="1"/>
    <xf numFmtId="0" fontId="1" fillId="0" borderId="6" xfId="0" applyFont="1" applyBorder="1" applyAlignment="1">
      <alignment vertical="top" wrapText="1"/>
    </xf>
    <xf numFmtId="0" fontId="4" fillId="0" borderId="7" xfId="0" applyFont="1" applyBorder="1"/>
    <xf numFmtId="0" fontId="4" fillId="0" borderId="8" xfId="0" applyFont="1" applyBorder="1" applyAlignment="1">
      <alignment vertical="top" wrapText="1"/>
    </xf>
    <xf numFmtId="0" fontId="4" fillId="0" borderId="9" xfId="0" applyFont="1" applyBorder="1"/>
    <xf numFmtId="0" fontId="1" fillId="0" borderId="4" xfId="0" applyFont="1" applyBorder="1"/>
    <xf numFmtId="0" fontId="4" fillId="0" borderId="7" xfId="0" applyFont="1" applyBorder="1" applyAlignment="1">
      <alignment vertical="top" wrapText="1"/>
    </xf>
    <xf numFmtId="0" fontId="0" fillId="0" borderId="10" xfId="0" applyBorder="1"/>
    <xf numFmtId="0" fontId="0" fillId="0" borderId="11" xfId="0" applyBorder="1"/>
    <xf numFmtId="0" fontId="1" fillId="0" borderId="12" xfId="0" applyFont="1" applyBorder="1" applyAlignment="1">
      <alignment wrapText="1"/>
    </xf>
    <xf numFmtId="0" fontId="4" fillId="0" borderId="13" xfId="0" applyFont="1" applyBorder="1" applyAlignment="1">
      <alignment wrapText="1"/>
    </xf>
    <xf numFmtId="0" fontId="1" fillId="0" borderId="14" xfId="0" applyFont="1" applyBorder="1" applyAlignment="1">
      <alignment wrapText="1"/>
    </xf>
    <xf numFmtId="0" fontId="4" fillId="0" borderId="15" xfId="0" applyFont="1" applyBorder="1" applyAlignment="1">
      <alignment wrapText="1"/>
    </xf>
    <xf numFmtId="0" fontId="3" fillId="0" borderId="16" xfId="0" applyFont="1" applyBorder="1"/>
    <xf numFmtId="0" fontId="1" fillId="0" borderId="17" xfId="0" applyFont="1" applyBorder="1"/>
    <xf numFmtId="0" fontId="4" fillId="0" borderId="18" xfId="0" applyFont="1" applyBorder="1" applyAlignment="1">
      <alignment vertical="top" wrapText="1"/>
    </xf>
    <xf numFmtId="0" fontId="1" fillId="0" borderId="19" xfId="0" applyFont="1" applyBorder="1" applyAlignment="1">
      <alignment vertical="top" wrapText="1"/>
    </xf>
    <xf numFmtId="0" fontId="4" fillId="0" borderId="16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6" fillId="0" borderId="20" xfId="0" applyFont="1" applyBorder="1"/>
    <xf numFmtId="0" fontId="7" fillId="0" borderId="20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21" xfId="0" applyFont="1" applyBorder="1"/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2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4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0" fillId="0" borderId="26" xfId="0" applyFont="1" applyBorder="1" applyAlignment="1">
      <alignment horizontal="center" vertical="center" wrapText="1"/>
    </xf>
    <xf numFmtId="2" fontId="10" fillId="0" borderId="26" xfId="0" applyNumberFormat="1" applyFont="1" applyBorder="1" applyAlignment="1">
      <alignment horizontal="center" vertical="center" wrapText="1"/>
    </xf>
    <xf numFmtId="2" fontId="10" fillId="0" borderId="31" xfId="0" applyNumberFormat="1" applyFont="1" applyBorder="1" applyAlignment="1">
      <alignment horizontal="center" vertical="center" wrapText="1"/>
    </xf>
    <xf numFmtId="0" fontId="0" fillId="0" borderId="25" xfId="0" applyBorder="1"/>
    <xf numFmtId="0" fontId="4" fillId="0" borderId="6" xfId="0" applyFont="1" applyBorder="1"/>
    <xf numFmtId="0" fontId="11" fillId="0" borderId="26" xfId="0" applyFont="1" applyBorder="1" applyAlignment="1">
      <alignment horizontal="center"/>
    </xf>
    <xf numFmtId="0" fontId="4" fillId="0" borderId="26" xfId="0" applyFont="1" applyBorder="1"/>
    <xf numFmtId="0" fontId="4" fillId="0" borderId="31" xfId="0" applyFont="1" applyBorder="1"/>
    <xf numFmtId="0" fontId="1" fillId="0" borderId="26" xfId="0" applyFont="1" applyBorder="1" applyAlignment="1">
      <alignment horizontal="center"/>
    </xf>
    <xf numFmtId="0" fontId="1" fillId="0" borderId="26" xfId="0" applyFont="1" applyBorder="1" applyAlignment="1">
      <alignment horizontal="center" wrapText="1"/>
    </xf>
    <xf numFmtId="0" fontId="12" fillId="0" borderId="6" xfId="0" applyFont="1" applyBorder="1" applyAlignment="1">
      <alignment horizontal="right"/>
    </xf>
    <xf numFmtId="2" fontId="1" fillId="0" borderId="26" xfId="0" applyNumberFormat="1" applyFont="1" applyBorder="1" applyAlignment="1">
      <alignment horizontal="left"/>
    </xf>
    <xf numFmtId="0" fontId="1" fillId="0" borderId="16" xfId="0" applyFont="1" applyBorder="1" applyAlignment="1">
      <alignment horizontal="center"/>
    </xf>
    <xf numFmtId="0" fontId="1" fillId="0" borderId="31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26" xfId="0" applyFont="1" applyBorder="1" applyAlignment="1">
      <alignment horizontal="right"/>
    </xf>
    <xf numFmtId="0" fontId="1" fillId="0" borderId="31" xfId="0" applyFont="1" applyBorder="1" applyAlignment="1">
      <alignment horizontal="center"/>
    </xf>
    <xf numFmtId="0" fontId="1" fillId="0" borderId="6" xfId="0" applyFont="1" applyBorder="1" applyAlignment="1">
      <alignment horizontal="left" vertical="top"/>
    </xf>
    <xf numFmtId="0" fontId="13" fillId="0" borderId="2" xfId="0" applyFont="1" applyBorder="1" applyAlignment="1">
      <alignment horizontal="left"/>
    </xf>
    <xf numFmtId="0" fontId="14" fillId="0" borderId="2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right"/>
    </xf>
    <xf numFmtId="0" fontId="1" fillId="0" borderId="20" xfId="0" applyFont="1" applyBorder="1" applyAlignment="1">
      <alignment horizontal="right"/>
    </xf>
    <xf numFmtId="0" fontId="0" fillId="0" borderId="32" xfId="0" applyBorder="1"/>
    <xf numFmtId="0" fontId="0" fillId="0" borderId="33" xfId="0" applyBorder="1"/>
    <xf numFmtId="0" fontId="1" fillId="0" borderId="34" xfId="0" applyFont="1" applyBorder="1" applyAlignment="1">
      <alignment horizontal="left" vertical="top" wrapText="1"/>
    </xf>
    <xf numFmtId="0" fontId="1" fillId="0" borderId="35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20</xdr:col>
      <xdr:colOff>0</xdr:colOff>
      <xdr:row>78</xdr:row>
      <xdr:rowOff>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84"/>
  <sheetFormatPr defaultRowHeight="15" outlineLevelRow="0" outlineLevelCol="0" x14ac:dyDescent="55"/>
  <cols>
    <col min="1" max="1" width="6.43" customWidth="1"/>
    <col min="2" max="16" width="5" customWidth="1"/>
    <col min="17" max="17" width="5" hidden="1" customWidth="1"/>
    <col min="18" max="27" width="5" customWidth="1"/>
  </cols>
  <sheetData>
    <row r="1" spans="1:2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4" t="s">
        <v>3</v>
      </c>
      <c r="P3" s="4"/>
      <c r="Q3" s="4"/>
      <c r="R3" s="4"/>
      <c r="S3" s="4"/>
      <c r="T3" s="4"/>
      <c r="U3" s="5" t="s">
        <v>4</v>
      </c>
      <c r="V3" s="5"/>
      <c r="W3" s="5"/>
      <c r="X3" s="5"/>
      <c r="Y3" s="5"/>
      <c r="Z3" s="5"/>
      <c r="AA3" s="5"/>
    </row>
    <row r="4" spans="1:27" x14ac:dyDescent="0.25">
      <c r="A4" s="6" t="s">
        <v>5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7" t="s">
        <v>6</v>
      </c>
      <c r="P4" s="7"/>
      <c r="Q4" s="7"/>
      <c r="R4" s="7"/>
      <c r="S4" s="7"/>
      <c r="T4" s="7"/>
      <c r="U4" s="8" t="s">
        <v>7</v>
      </c>
      <c r="V4" s="8"/>
      <c r="W4" s="8"/>
      <c r="X4" s="8"/>
      <c r="Y4" s="8"/>
      <c r="Z4" s="8"/>
      <c r="AA4" s="8"/>
    </row>
    <row r="5" spans="1:27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9" t="s">
        <v>8</v>
      </c>
      <c r="P5" s="9"/>
      <c r="Q5" s="9"/>
      <c r="R5" s="9"/>
      <c r="S5" s="9"/>
      <c r="T5" s="9"/>
      <c r="U5" s="8"/>
      <c r="V5" s="8"/>
      <c r="W5" s="8"/>
      <c r="X5" s="8"/>
      <c r="Y5" s="8"/>
      <c r="Z5" s="8"/>
      <c r="AA5" s="8"/>
    </row>
    <row r="6" spans="1:27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10" t="s">
        <v>9</v>
      </c>
      <c r="P6" s="10"/>
      <c r="Q6" s="10"/>
      <c r="R6" s="10"/>
      <c r="S6" s="10"/>
      <c r="T6" s="10"/>
      <c r="U6" s="8"/>
      <c r="V6" s="8"/>
      <c r="W6" s="8"/>
      <c r="X6" s="8"/>
      <c r="Y6" s="8"/>
      <c r="Z6" s="8"/>
      <c r="AA6" s="8"/>
    </row>
    <row r="7" spans="1:27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11" t="s">
        <v>10</v>
      </c>
      <c r="P7" s="11"/>
      <c r="Q7" s="11"/>
      <c r="R7" s="11"/>
      <c r="S7" s="11"/>
      <c r="T7" s="11"/>
      <c r="U7" s="8"/>
      <c r="V7" s="8"/>
      <c r="W7" s="8"/>
      <c r="X7" s="8"/>
      <c r="Y7" s="8"/>
      <c r="Z7" s="8"/>
      <c r="AA7" s="8"/>
    </row>
    <row r="8" spans="1:27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11"/>
      <c r="P8" s="11"/>
      <c r="Q8" s="11"/>
      <c r="R8" s="11"/>
      <c r="S8" s="11"/>
      <c r="T8" s="11"/>
      <c r="U8" s="8"/>
      <c r="V8" s="8"/>
      <c r="W8" s="8"/>
      <c r="X8" s="8"/>
      <c r="Y8" s="8"/>
      <c r="Z8" s="8"/>
      <c r="AA8" s="8"/>
    </row>
    <row r="9" spans="1:27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12"/>
      <c r="T9" s="13"/>
      <c r="U9" s="8"/>
      <c r="V9" s="8"/>
      <c r="W9" s="8"/>
      <c r="X9" s="8"/>
      <c r="Y9" s="8"/>
      <c r="Z9" s="8"/>
      <c r="AA9" s="8"/>
    </row>
    <row r="10" spans="1:27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12"/>
      <c r="T10" s="13"/>
      <c r="U10" s="8"/>
      <c r="V10" s="8"/>
      <c r="W10" s="8"/>
      <c r="X10" s="8"/>
      <c r="Y10" s="8"/>
      <c r="Z10" s="8"/>
      <c r="AA10" s="8"/>
    </row>
    <row r="11" spans="1:27" x14ac:dyDescent="0.25">
      <c r="A11" s="14" t="s">
        <v>11</v>
      </c>
      <c r="B11" s="14"/>
      <c r="C11" s="15" t="s">
        <v>12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2"/>
      <c r="T11" s="13"/>
      <c r="U11" s="8"/>
      <c r="V11" s="8"/>
      <c r="W11" s="8"/>
      <c r="X11" s="8"/>
      <c r="Y11" s="8"/>
      <c r="Z11" s="8"/>
      <c r="AA11" s="8"/>
    </row>
    <row r="12" spans="1:27" x14ac:dyDescent="0.25">
      <c r="A12" s="16" t="s">
        <v>13</v>
      </c>
      <c r="B12" s="16"/>
      <c r="C12" s="17" t="s">
        <v>14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9" t="s">
        <v>15</v>
      </c>
      <c r="P12" s="9"/>
      <c r="Q12" s="9"/>
      <c r="R12" s="9"/>
      <c r="S12" s="9"/>
      <c r="T12" s="9"/>
      <c r="U12" s="8"/>
      <c r="V12" s="8"/>
      <c r="W12" s="8"/>
      <c r="X12" s="8"/>
      <c r="Y12" s="8"/>
      <c r="Z12" s="8"/>
      <c r="AA12" s="8"/>
    </row>
    <row r="13" spans="1:27" x14ac:dyDescent="0.25">
      <c r="A13" s="18" t="s">
        <v>16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9" t="s">
        <v>17</v>
      </c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</row>
    <row r="14" spans="1:27" x14ac:dyDescent="0.25">
      <c r="A14" s="20" t="s">
        <v>18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1" t="s">
        <v>19</v>
      </c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</row>
    <row r="15" spans="1:27" x14ac:dyDescent="0.25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</row>
    <row r="16" spans="1:27" x14ac:dyDescent="0.25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</row>
    <row r="17" spans="1:27" x14ac:dyDescent="0.25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</row>
    <row r="18" spans="1:27" x14ac:dyDescent="0.25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</row>
    <row r="19" spans="1:27" x14ac:dyDescent="0.25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</row>
    <row r="20" spans="1:27" x14ac:dyDescent="0.25">
      <c r="A20" s="22" t="s">
        <v>20</v>
      </c>
      <c r="B20" s="22"/>
      <c r="C20" s="22"/>
      <c r="D20" s="22"/>
      <c r="E20" s="22"/>
      <c r="F20" s="22"/>
      <c r="G20" s="22"/>
      <c r="H20" s="23" t="s">
        <v>21</v>
      </c>
      <c r="I20" s="23"/>
      <c r="J20" s="23"/>
      <c r="K20" s="23"/>
      <c r="L20" s="23"/>
      <c r="M20" s="23"/>
      <c r="N20" s="23"/>
      <c r="O20" s="23" t="s">
        <v>22</v>
      </c>
      <c r="P20" s="23"/>
      <c r="Q20" s="23"/>
      <c r="R20" s="23"/>
      <c r="S20" s="23"/>
      <c r="T20" s="23"/>
      <c r="U20" s="23"/>
      <c r="V20" s="23"/>
      <c r="W20" s="24" t="s">
        <v>23</v>
      </c>
      <c r="X20" s="24"/>
      <c r="Y20" s="24"/>
      <c r="Z20" s="24"/>
      <c r="AA20" s="24"/>
    </row>
    <row r="21" spans="1:27" x14ac:dyDescent="0.25">
      <c r="A21" s="25" t="s">
        <v>24</v>
      </c>
      <c r="B21" s="25"/>
      <c r="C21" s="25"/>
      <c r="D21" s="25"/>
      <c r="E21" s="25"/>
      <c r="F21" s="25"/>
      <c r="G21" s="25"/>
      <c r="H21" s="26" t="s">
        <v>25</v>
      </c>
      <c r="I21" s="26"/>
      <c r="J21" s="26"/>
      <c r="K21" s="26"/>
      <c r="L21" s="26"/>
      <c r="M21" s="26"/>
      <c r="N21" s="26"/>
      <c r="O21" s="27" t="s">
        <v>26</v>
      </c>
      <c r="P21" s="27"/>
      <c r="Q21" s="27"/>
      <c r="R21" s="27"/>
      <c r="S21" s="27"/>
      <c r="T21" s="27"/>
      <c r="U21" s="27"/>
      <c r="V21" s="27"/>
      <c r="W21" s="28" t="s">
        <v>27</v>
      </c>
      <c r="X21" s="28"/>
      <c r="Y21" s="28"/>
      <c r="Z21" s="28"/>
      <c r="AA21" s="28"/>
    </row>
    <row r="22" spans="1:27" x14ac:dyDescent="0.25">
      <c r="A22" s="22" t="s">
        <v>28</v>
      </c>
      <c r="B22" s="22"/>
      <c r="C22" s="22"/>
      <c r="D22" s="22"/>
      <c r="E22" s="22"/>
      <c r="F22" s="22"/>
      <c r="G22" s="22"/>
      <c r="H22" s="23" t="s">
        <v>29</v>
      </c>
      <c r="I22" s="23"/>
      <c r="J22" s="23"/>
      <c r="K22" s="23"/>
      <c r="L22" s="23"/>
      <c r="M22" s="23"/>
      <c r="N22" s="23"/>
      <c r="O22" s="5" t="s">
        <v>30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27" x14ac:dyDescent="0.25">
      <c r="A23" s="25" t="s">
        <v>24</v>
      </c>
      <c r="B23" s="25"/>
      <c r="C23" s="25"/>
      <c r="D23" s="25"/>
      <c r="E23" s="25"/>
      <c r="F23" s="25"/>
      <c r="G23" s="25"/>
      <c r="H23" s="26" t="s">
        <v>31</v>
      </c>
      <c r="I23" s="26"/>
      <c r="J23" s="26"/>
      <c r="K23" s="26"/>
      <c r="L23" s="26"/>
      <c r="M23" s="26"/>
      <c r="N23" s="26"/>
      <c r="O23" s="29" t="s">
        <v>32</v>
      </c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 spans="1:27" x14ac:dyDescent="0.25">
      <c r="A24" s="22" t="s">
        <v>33</v>
      </c>
      <c r="B24" s="22"/>
      <c r="C24" s="22"/>
      <c r="D24" s="22"/>
      <c r="E24" s="22"/>
      <c r="F24" s="22"/>
      <c r="G24" s="22"/>
      <c r="H24" s="23" t="s">
        <v>34</v>
      </c>
      <c r="I24" s="23"/>
      <c r="J24" s="23"/>
      <c r="K24" s="23"/>
      <c r="L24" s="23"/>
      <c r="M24" s="23"/>
      <c r="N24" s="23"/>
      <c r="O24" s="30" t="s">
        <v>35</v>
      </c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1:27" x14ac:dyDescent="0.25">
      <c r="A25" s="31" t="s">
        <v>36</v>
      </c>
      <c r="B25" s="31"/>
      <c r="C25" s="31"/>
      <c r="D25" s="31"/>
      <c r="E25" s="31"/>
      <c r="F25" s="31"/>
      <c r="G25" s="31"/>
      <c r="H25" s="32" t="s">
        <v>27</v>
      </c>
      <c r="I25" s="32"/>
      <c r="J25" s="32"/>
      <c r="K25" s="32"/>
      <c r="L25" s="32"/>
      <c r="M25" s="32"/>
      <c r="N25" s="32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1:27" x14ac:dyDescent="0.25">
      <c r="A26" s="31"/>
      <c r="B26" s="31"/>
      <c r="C26" s="31"/>
      <c r="D26" s="31"/>
      <c r="E26" s="31"/>
      <c r="F26" s="31"/>
      <c r="G26" s="31"/>
      <c r="H26" s="32"/>
      <c r="I26" s="32"/>
      <c r="J26" s="32"/>
      <c r="K26" s="32"/>
      <c r="L26" s="32"/>
      <c r="M26" s="32"/>
      <c r="N26" s="32"/>
      <c r="O26" s="33" t="s">
        <v>37</v>
      </c>
      <c r="P26" s="33"/>
      <c r="Q26" s="33"/>
      <c r="R26" s="33"/>
      <c r="S26" s="33"/>
      <c r="T26" s="33"/>
      <c r="U26" s="33"/>
      <c r="V26" s="34" t="s">
        <v>38</v>
      </c>
      <c r="W26" s="34"/>
      <c r="X26" s="34"/>
      <c r="Y26" s="35">
        <v>86.7</v>
      </c>
      <c r="Z26" s="35"/>
      <c r="AA26" s="35"/>
    </row>
    <row r="27" spans="1:27" x14ac:dyDescent="0.25">
      <c r="A27" s="36" t="s">
        <v>39</v>
      </c>
      <c r="B27" s="36"/>
      <c r="C27" s="36"/>
      <c r="D27" s="36"/>
      <c r="E27" s="37" t="s">
        <v>40</v>
      </c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8" t="s">
        <v>41</v>
      </c>
      <c r="S27" s="38"/>
      <c r="T27" s="38" t="s">
        <v>42</v>
      </c>
      <c r="U27" s="38"/>
      <c r="V27" s="38" t="s">
        <v>43</v>
      </c>
      <c r="W27" s="38"/>
      <c r="X27" s="38"/>
      <c r="Y27" s="39" t="s">
        <v>44</v>
      </c>
      <c r="Z27" s="39"/>
      <c r="AA27" s="39"/>
    </row>
    <row r="28" ht="24" customHeight="1" spans="1:27" x14ac:dyDescent="0.25">
      <c r="A28" s="40" t="s">
        <v>45</v>
      </c>
      <c r="B28" s="40"/>
      <c r="C28" s="40"/>
      <c r="D28" s="40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41" t="s">
        <v>46</v>
      </c>
      <c r="S28" s="41"/>
      <c r="T28" s="42" t="s">
        <v>47</v>
      </c>
      <c r="U28" s="42"/>
      <c r="V28" s="41" t="s">
        <v>48</v>
      </c>
      <c r="W28" s="41"/>
      <c r="X28" s="41"/>
      <c r="Y28" s="43" t="s">
        <v>49</v>
      </c>
      <c r="Z28" s="43"/>
      <c r="AA28" s="43"/>
    </row>
    <row r="29" ht="46" customHeight="1" spans="1:27" x14ac:dyDescent="0.25">
      <c r="A29" s="44" t="s">
        <v>50</v>
      </c>
      <c r="B29" s="45" t="s">
        <v>51</v>
      </c>
      <c r="C29" s="45"/>
      <c r="D29" s="45"/>
      <c r="E29" s="46" t="s">
        <v>52</v>
      </c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7"/>
      <c r="S29" s="48"/>
      <c r="T29" s="47"/>
      <c r="U29" s="48"/>
      <c r="V29" s="47"/>
      <c r="W29" s="49"/>
      <c r="X29" s="48"/>
      <c r="Y29" s="47"/>
      <c r="Z29" s="49"/>
      <c r="AA29" s="50"/>
    </row>
    <row r="30" spans="1:27" x14ac:dyDescent="0.25">
      <c r="A30" s="51">
        <v>1</v>
      </c>
      <c r="B30" s="52">
        <v>69101000</v>
      </c>
      <c r="C30" s="52"/>
      <c r="D30" s="52"/>
      <c r="E30" s="53" t="s">
        <v>53</v>
      </c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>
        <v>240</v>
      </c>
      <c r="S30" s="53"/>
      <c r="T30" s="53" t="s">
        <v>54</v>
      </c>
      <c r="U30" s="53"/>
      <c r="V30" s="54">
        <v>7</v>
      </c>
      <c r="W30" s="54"/>
      <c r="X30" s="54"/>
      <c r="Y30" s="55">
        <f>ROUND(R30*V30, 2)</f>
        <v>0</v>
      </c>
      <c r="Z30" s="55"/>
      <c r="AA30" s="55"/>
    </row>
    <row r="31" spans="1:27" x14ac:dyDescent="0.25">
      <c r="A31" s="51">
        <v>2</v>
      </c>
      <c r="B31" s="52">
        <v>69101000</v>
      </c>
      <c r="C31" s="52"/>
      <c r="D31" s="52"/>
      <c r="E31" s="53" t="s">
        <v>55</v>
      </c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>
        <v>51</v>
      </c>
      <c r="S31" s="53"/>
      <c r="T31" s="53" t="s">
        <v>54</v>
      </c>
      <c r="U31" s="53"/>
      <c r="V31" s="54">
        <v>7.4</v>
      </c>
      <c r="W31" s="54"/>
      <c r="X31" s="54"/>
      <c r="Y31" s="55">
        <f>ROUND(R31*V31, 2)</f>
        <v>0</v>
      </c>
      <c r="Z31" s="55"/>
      <c r="AA31" s="55"/>
    </row>
    <row r="32" spans="1:27" x14ac:dyDescent="0.25">
      <c r="A32" s="51">
        <v>3</v>
      </c>
      <c r="B32" s="52">
        <v>69101000</v>
      </c>
      <c r="C32" s="52"/>
      <c r="D32" s="52"/>
      <c r="E32" s="53" t="s">
        <v>56</v>
      </c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>
        <v>101</v>
      </c>
      <c r="S32" s="53"/>
      <c r="T32" s="53" t="s">
        <v>54</v>
      </c>
      <c r="U32" s="53"/>
      <c r="V32" s="54">
        <v>7.7</v>
      </c>
      <c r="W32" s="54"/>
      <c r="X32" s="54"/>
      <c r="Y32" s="55">
        <f>ROUND(R32*V32, 2)</f>
        <v>0</v>
      </c>
      <c r="Z32" s="55"/>
      <c r="AA32" s="55"/>
    </row>
    <row r="33" spans="1:27" x14ac:dyDescent="0.25">
      <c r="A33" s="51">
        <v>4</v>
      </c>
      <c r="B33" s="52">
        <v>69101000</v>
      </c>
      <c r="C33" s="52"/>
      <c r="D33" s="52"/>
      <c r="E33" s="53" t="s">
        <v>57</v>
      </c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>
        <v>101</v>
      </c>
      <c r="S33" s="53"/>
      <c r="T33" s="53" t="s">
        <v>54</v>
      </c>
      <c r="U33" s="53"/>
      <c r="V33" s="54">
        <v>8</v>
      </c>
      <c r="W33" s="54"/>
      <c r="X33" s="54"/>
      <c r="Y33" s="55">
        <f>ROUND(R33*V33, 2)</f>
        <v>0</v>
      </c>
      <c r="Z33" s="55"/>
      <c r="AA33" s="55"/>
    </row>
    <row r="34" spans="1:27" x14ac:dyDescent="0.25">
      <c r="A34" s="51">
        <v>5</v>
      </c>
      <c r="B34" s="52">
        <v>69101000</v>
      </c>
      <c r="C34" s="52"/>
      <c r="D34" s="52"/>
      <c r="E34" s="53" t="s">
        <v>58</v>
      </c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>
        <v>100</v>
      </c>
      <c r="S34" s="53"/>
      <c r="T34" s="53" t="s">
        <v>54</v>
      </c>
      <c r="U34" s="53"/>
      <c r="V34" s="54">
        <v>8.26</v>
      </c>
      <c r="W34" s="54"/>
      <c r="X34" s="54"/>
      <c r="Y34" s="55">
        <f>ROUND(R34*V34, 2)</f>
        <v>0</v>
      </c>
      <c r="Z34" s="55"/>
      <c r="AA34" s="55"/>
    </row>
    <row r="35" spans="1:27" x14ac:dyDescent="0.25">
      <c r="A35" s="51">
        <v>6</v>
      </c>
      <c r="B35" s="52">
        <v>69101000</v>
      </c>
      <c r="C35" s="52"/>
      <c r="D35" s="52"/>
      <c r="E35" s="53" t="s">
        <v>59</v>
      </c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>
        <v>101</v>
      </c>
      <c r="S35" s="53"/>
      <c r="T35" s="53" t="s">
        <v>54</v>
      </c>
      <c r="U35" s="53"/>
      <c r="V35" s="54">
        <v>8.26</v>
      </c>
      <c r="W35" s="54"/>
      <c r="X35" s="54"/>
      <c r="Y35" s="55">
        <f>ROUND(R35*V35, 2)</f>
        <v>0</v>
      </c>
      <c r="Z35" s="55"/>
      <c r="AA35" s="55"/>
    </row>
    <row r="36" spans="1:27" x14ac:dyDescent="0.25">
      <c r="A36" s="51">
        <v>7</v>
      </c>
      <c r="B36" s="52">
        <v>69101000</v>
      </c>
      <c r="C36" s="52"/>
      <c r="D36" s="52"/>
      <c r="E36" s="53" t="s">
        <v>60</v>
      </c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>
        <v>100</v>
      </c>
      <c r="S36" s="53"/>
      <c r="T36" s="53" t="s">
        <v>54</v>
      </c>
      <c r="U36" s="53"/>
      <c r="V36" s="54">
        <v>5.5</v>
      </c>
      <c r="W36" s="54"/>
      <c r="X36" s="54"/>
      <c r="Y36" s="55">
        <f>ROUND(R36*V36, 2)</f>
        <v>0</v>
      </c>
      <c r="Z36" s="55"/>
      <c r="AA36" s="55"/>
    </row>
    <row r="37" spans="1:27" x14ac:dyDescent="0.25">
      <c r="A37" s="51">
        <v>8</v>
      </c>
      <c r="B37" s="52">
        <v>69101000</v>
      </c>
      <c r="C37" s="52"/>
      <c r="D37" s="52"/>
      <c r="E37" s="53" t="s">
        <v>61</v>
      </c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>
        <v>100</v>
      </c>
      <c r="S37" s="53"/>
      <c r="T37" s="53" t="s">
        <v>54</v>
      </c>
      <c r="U37" s="53"/>
      <c r="V37" s="54">
        <v>8</v>
      </c>
      <c r="W37" s="54"/>
      <c r="X37" s="54"/>
      <c r="Y37" s="55">
        <f>ROUND(R37*V37, 2)</f>
        <v>0</v>
      </c>
      <c r="Z37" s="55"/>
      <c r="AA37" s="55"/>
    </row>
    <row r="38" spans="1:27" x14ac:dyDescent="0.25">
      <c r="A38" s="51">
        <v>9</v>
      </c>
      <c r="B38" s="52">
        <v>69101000</v>
      </c>
      <c r="C38" s="52"/>
      <c r="D38" s="52"/>
      <c r="E38" s="53" t="s">
        <v>62</v>
      </c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>
        <v>150</v>
      </c>
      <c r="S38" s="53"/>
      <c r="T38" s="53" t="s">
        <v>63</v>
      </c>
      <c r="U38" s="53"/>
      <c r="V38" s="54">
        <v>9</v>
      </c>
      <c r="W38" s="54"/>
      <c r="X38" s="54"/>
      <c r="Y38" s="55">
        <f>ROUND(R38*V38, 2)</f>
        <v>0</v>
      </c>
      <c r="Z38" s="55"/>
      <c r="AA38" s="55"/>
    </row>
    <row r="39" spans="1:27" x14ac:dyDescent="0.25">
      <c r="A39" s="51">
        <v>10</v>
      </c>
      <c r="B39" s="52">
        <v>69101000</v>
      </c>
      <c r="C39" s="52"/>
      <c r="D39" s="52"/>
      <c r="E39" s="53" t="s">
        <v>64</v>
      </c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>
        <v>50</v>
      </c>
      <c r="S39" s="53"/>
      <c r="T39" s="53" t="s">
        <v>54</v>
      </c>
      <c r="U39" s="53"/>
      <c r="V39" s="54">
        <v>10.2</v>
      </c>
      <c r="W39" s="54"/>
      <c r="X39" s="54"/>
      <c r="Y39" s="55">
        <f>ROUND(R39*V39, 2)</f>
        <v>0</v>
      </c>
      <c r="Z39" s="55"/>
      <c r="AA39" s="55"/>
    </row>
    <row r="40" spans="1:27" x14ac:dyDescent="0.25">
      <c r="A40" s="51">
        <v>11</v>
      </c>
      <c r="B40" s="52">
        <v>69101000</v>
      </c>
      <c r="C40" s="52"/>
      <c r="D40" s="52"/>
      <c r="E40" s="53" t="s">
        <v>65</v>
      </c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>
        <v>100</v>
      </c>
      <c r="S40" s="53"/>
      <c r="T40" s="53" t="s">
        <v>54</v>
      </c>
      <c r="U40" s="53"/>
      <c r="V40" s="54">
        <v>15</v>
      </c>
      <c r="W40" s="54"/>
      <c r="X40" s="54"/>
      <c r="Y40" s="55">
        <f>ROUND(R40*V40, 2)</f>
        <v>0</v>
      </c>
      <c r="Z40" s="55"/>
      <c r="AA40" s="55"/>
    </row>
    <row r="41" spans="1:27" x14ac:dyDescent="0.25">
      <c r="A41" s="51">
        <v>12</v>
      </c>
      <c r="B41" s="52">
        <v>69101000</v>
      </c>
      <c r="C41" s="52"/>
      <c r="D41" s="52"/>
      <c r="E41" s="53" t="s">
        <v>66</v>
      </c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>
        <v>5</v>
      </c>
      <c r="S41" s="53"/>
      <c r="T41" s="53" t="s">
        <v>54</v>
      </c>
      <c r="U41" s="53"/>
      <c r="V41" s="54">
        <v>32.5</v>
      </c>
      <c r="W41" s="54"/>
      <c r="X41" s="54"/>
      <c r="Y41" s="55">
        <f>ROUND(R41*V41, 2)</f>
        <v>0</v>
      </c>
      <c r="Z41" s="55"/>
      <c r="AA41" s="55"/>
    </row>
    <row r="42" spans="1:27" x14ac:dyDescent="0.25">
      <c r="A42" s="51">
        <v>13</v>
      </c>
      <c r="B42" s="52">
        <v>69101000</v>
      </c>
      <c r="C42" s="52"/>
      <c r="D42" s="52"/>
      <c r="E42" s="53" t="s">
        <v>67</v>
      </c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>
        <v>20</v>
      </c>
      <c r="S42" s="53"/>
      <c r="T42" s="53" t="s">
        <v>54</v>
      </c>
      <c r="U42" s="53"/>
      <c r="V42" s="54">
        <v>29</v>
      </c>
      <c r="W42" s="54"/>
      <c r="X42" s="54"/>
      <c r="Y42" s="55">
        <f>ROUND(R42*V42, 2)</f>
        <v>0</v>
      </c>
      <c r="Z42" s="55"/>
      <c r="AA42" s="55"/>
    </row>
    <row r="43" spans="1:27" x14ac:dyDescent="0.25">
      <c r="A43" s="51">
        <v>14</v>
      </c>
      <c r="B43" s="52">
        <v>69101000</v>
      </c>
      <c r="C43" s="52"/>
      <c r="D43" s="52"/>
      <c r="E43" s="53" t="s">
        <v>68</v>
      </c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>
        <v>20</v>
      </c>
      <c r="S43" s="53"/>
      <c r="T43" s="53" t="s">
        <v>54</v>
      </c>
      <c r="U43" s="53"/>
      <c r="V43" s="54">
        <v>32.5</v>
      </c>
      <c r="W43" s="54"/>
      <c r="X43" s="54"/>
      <c r="Y43" s="55">
        <f>ROUND(R43*V43, 2)</f>
        <v>0</v>
      </c>
      <c r="Z43" s="55"/>
      <c r="AA43" s="55"/>
    </row>
    <row r="44" ht="46" customHeight="1" spans="1:27" x14ac:dyDescent="0.25">
      <c r="A44" s="56"/>
      <c r="B44" s="47"/>
      <c r="C44" s="49"/>
      <c r="D44" s="48"/>
      <c r="E44" s="46" t="s">
        <v>69</v>
      </c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7"/>
      <c r="S44" s="48"/>
      <c r="T44" s="47"/>
      <c r="U44" s="48"/>
      <c r="V44" s="47"/>
      <c r="W44" s="49"/>
      <c r="X44" s="48"/>
      <c r="Y44" s="47"/>
      <c r="Z44" s="49"/>
      <c r="AA44" s="50"/>
    </row>
    <row r="45" spans="1:27" x14ac:dyDescent="0.25">
      <c r="A45" s="51">
        <v>15</v>
      </c>
      <c r="B45" s="52">
        <v>84145120</v>
      </c>
      <c r="C45" s="52"/>
      <c r="D45" s="52"/>
      <c r="E45" s="53" t="s">
        <v>70</v>
      </c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>
        <v>60</v>
      </c>
      <c r="S45" s="53"/>
      <c r="T45" s="53" t="s">
        <v>54</v>
      </c>
      <c r="U45" s="53"/>
      <c r="V45" s="54">
        <v>40.5</v>
      </c>
      <c r="W45" s="54"/>
      <c r="X45" s="54"/>
      <c r="Y45" s="55">
        <f>ROUND(R45*V45, 2)</f>
        <v>0</v>
      </c>
      <c r="Z45" s="55"/>
      <c r="AA45" s="55"/>
    </row>
    <row r="46" ht="46" customHeight="1" spans="1:27" x14ac:dyDescent="0.25">
      <c r="A46" s="56"/>
      <c r="B46" s="47"/>
      <c r="C46" s="49"/>
      <c r="D46" s="48"/>
      <c r="E46" s="46" t="s">
        <v>71</v>
      </c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7"/>
      <c r="S46" s="48"/>
      <c r="T46" s="47"/>
      <c r="U46" s="48"/>
      <c r="V46" s="47"/>
      <c r="W46" s="49"/>
      <c r="X46" s="48"/>
      <c r="Y46" s="47"/>
      <c r="Z46" s="49"/>
      <c r="AA46" s="50"/>
    </row>
    <row r="47" spans="1:27" x14ac:dyDescent="0.25">
      <c r="A47" s="51">
        <v>16</v>
      </c>
      <c r="B47" s="52">
        <v>84818020</v>
      </c>
      <c r="C47" s="52"/>
      <c r="D47" s="52"/>
      <c r="E47" s="53" t="s">
        <v>72</v>
      </c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>
        <v>100</v>
      </c>
      <c r="S47" s="53"/>
      <c r="T47" s="53" t="s">
        <v>54</v>
      </c>
      <c r="U47" s="53"/>
      <c r="V47" s="54">
        <v>5.59</v>
      </c>
      <c r="W47" s="54"/>
      <c r="X47" s="54"/>
      <c r="Y47" s="55">
        <f>ROUND(R47*V47, 2)</f>
        <v>0</v>
      </c>
      <c r="Z47" s="55"/>
      <c r="AA47" s="55"/>
    </row>
    <row r="48" spans="1:27" x14ac:dyDescent="0.25">
      <c r="A48" s="51">
        <v>17</v>
      </c>
      <c r="B48" s="52">
        <v>84818020</v>
      </c>
      <c r="C48" s="52"/>
      <c r="D48" s="52"/>
      <c r="E48" s="53" t="s">
        <v>73</v>
      </c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>
        <v>100</v>
      </c>
      <c r="S48" s="53"/>
      <c r="T48" s="53" t="s">
        <v>54</v>
      </c>
      <c r="U48" s="53"/>
      <c r="V48" s="54">
        <v>8.1</v>
      </c>
      <c r="W48" s="54"/>
      <c r="X48" s="54"/>
      <c r="Y48" s="55">
        <f>ROUND(R48*V48, 2)</f>
        <v>0</v>
      </c>
      <c r="Z48" s="55"/>
      <c r="AA48" s="55"/>
    </row>
    <row r="49" spans="1:27" x14ac:dyDescent="0.25">
      <c r="A49" s="51">
        <v>18</v>
      </c>
      <c r="B49" s="52">
        <v>84818020</v>
      </c>
      <c r="C49" s="52"/>
      <c r="D49" s="52"/>
      <c r="E49" s="53" t="s">
        <v>74</v>
      </c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>
        <v>100</v>
      </c>
      <c r="S49" s="53"/>
      <c r="T49" s="53" t="s">
        <v>54</v>
      </c>
      <c r="U49" s="53"/>
      <c r="V49" s="54">
        <v>12.04</v>
      </c>
      <c r="W49" s="54"/>
      <c r="X49" s="54"/>
      <c r="Y49" s="55">
        <f>ROUND(R49*V49, 2)</f>
        <v>0</v>
      </c>
      <c r="Z49" s="55"/>
      <c r="AA49" s="55"/>
    </row>
    <row r="50" spans="1:27" x14ac:dyDescent="0.25">
      <c r="A50" s="51">
        <v>19</v>
      </c>
      <c r="B50" s="52">
        <v>84818020</v>
      </c>
      <c r="C50" s="52"/>
      <c r="D50" s="52"/>
      <c r="E50" s="53" t="s">
        <v>75</v>
      </c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>
        <v>200</v>
      </c>
      <c r="S50" s="53"/>
      <c r="T50" s="53" t="s">
        <v>54</v>
      </c>
      <c r="U50" s="53"/>
      <c r="V50" s="54">
        <v>7.12</v>
      </c>
      <c r="W50" s="54"/>
      <c r="X50" s="54"/>
      <c r="Y50" s="55">
        <f>ROUND(R50*V50, 2)</f>
        <v>0</v>
      </c>
      <c r="Z50" s="55"/>
      <c r="AA50" s="55"/>
    </row>
    <row r="51" spans="1:27" x14ac:dyDescent="0.25">
      <c r="A51" s="51">
        <v>20</v>
      </c>
      <c r="B51" s="52">
        <v>84818020</v>
      </c>
      <c r="C51" s="52"/>
      <c r="D51" s="52"/>
      <c r="E51" s="53" t="s">
        <v>76</v>
      </c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>
        <v>50</v>
      </c>
      <c r="S51" s="53"/>
      <c r="T51" s="53" t="s">
        <v>54</v>
      </c>
      <c r="U51" s="53"/>
      <c r="V51" s="54">
        <v>23.05</v>
      </c>
      <c r="W51" s="54"/>
      <c r="X51" s="54"/>
      <c r="Y51" s="55">
        <f>ROUND(R51*V51, 2)</f>
        <v>0</v>
      </c>
      <c r="Z51" s="55"/>
      <c r="AA51" s="55"/>
    </row>
    <row r="52" spans="1:27" x14ac:dyDescent="0.25">
      <c r="A52" s="51">
        <v>21</v>
      </c>
      <c r="B52" s="52">
        <v>84818020</v>
      </c>
      <c r="C52" s="52"/>
      <c r="D52" s="52"/>
      <c r="E52" s="53" t="s">
        <v>77</v>
      </c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>
        <v>100</v>
      </c>
      <c r="S52" s="53"/>
      <c r="T52" s="53" t="s">
        <v>54</v>
      </c>
      <c r="U52" s="53"/>
      <c r="V52" s="54">
        <v>25.05</v>
      </c>
      <c r="W52" s="54"/>
      <c r="X52" s="54"/>
      <c r="Y52" s="55">
        <f>ROUND(R52*V52, 2)</f>
        <v>0</v>
      </c>
      <c r="Z52" s="55"/>
      <c r="AA52" s="55"/>
    </row>
    <row r="53" spans="1:27" x14ac:dyDescent="0.25">
      <c r="A53" s="51">
        <v>22</v>
      </c>
      <c r="B53" s="52">
        <v>84818020</v>
      </c>
      <c r="C53" s="52"/>
      <c r="D53" s="52"/>
      <c r="E53" s="53" t="s">
        <v>78</v>
      </c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>
        <v>200</v>
      </c>
      <c r="S53" s="53"/>
      <c r="T53" s="53" t="s">
        <v>54</v>
      </c>
      <c r="U53" s="53"/>
      <c r="V53" s="54">
        <v>5.59</v>
      </c>
      <c r="W53" s="54"/>
      <c r="X53" s="54"/>
      <c r="Y53" s="55">
        <f>ROUND(R53*V53, 2)</f>
        <v>0</v>
      </c>
      <c r="Z53" s="55"/>
      <c r="AA53" s="55"/>
    </row>
    <row r="54" spans="1:27" x14ac:dyDescent="0.25">
      <c r="A54" s="51">
        <v>23</v>
      </c>
      <c r="B54" s="52">
        <v>84818020</v>
      </c>
      <c r="C54" s="52"/>
      <c r="D54" s="52"/>
      <c r="E54" s="53" t="s">
        <v>79</v>
      </c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>
        <v>50</v>
      </c>
      <c r="S54" s="53"/>
      <c r="T54" s="53" t="s">
        <v>54</v>
      </c>
      <c r="U54" s="53"/>
      <c r="V54" s="54">
        <v>8.17</v>
      </c>
      <c r="W54" s="54"/>
      <c r="X54" s="54"/>
      <c r="Y54" s="55">
        <f>ROUND(R54*V54, 2)</f>
        <v>0</v>
      </c>
      <c r="Z54" s="55"/>
      <c r="AA54" s="55"/>
    </row>
    <row r="55" spans="1:27" x14ac:dyDescent="0.25">
      <c r="A55" s="51">
        <v>24</v>
      </c>
      <c r="B55" s="52">
        <v>84818020</v>
      </c>
      <c r="C55" s="52"/>
      <c r="D55" s="52"/>
      <c r="E55" s="53" t="s">
        <v>80</v>
      </c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>
        <v>50</v>
      </c>
      <c r="S55" s="53"/>
      <c r="T55" s="53" t="s">
        <v>54</v>
      </c>
      <c r="U55" s="53"/>
      <c r="V55" s="54">
        <v>23.46</v>
      </c>
      <c r="W55" s="54"/>
      <c r="X55" s="54"/>
      <c r="Y55" s="55">
        <f>ROUND(R55*V55, 2)</f>
        <v>0</v>
      </c>
      <c r="Z55" s="55"/>
      <c r="AA55" s="55"/>
    </row>
    <row r="56" spans="1:27" x14ac:dyDescent="0.25">
      <c r="A56" s="51">
        <v>25</v>
      </c>
      <c r="B56" s="52">
        <v>84818020</v>
      </c>
      <c r="C56" s="52"/>
      <c r="D56" s="52"/>
      <c r="E56" s="53" t="s">
        <v>81</v>
      </c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>
        <v>100</v>
      </c>
      <c r="S56" s="53"/>
      <c r="T56" s="53" t="s">
        <v>54</v>
      </c>
      <c r="U56" s="53"/>
      <c r="V56" s="54">
        <v>7.27</v>
      </c>
      <c r="W56" s="54"/>
      <c r="X56" s="54"/>
      <c r="Y56" s="55">
        <f>ROUND(R56*V56, 2)</f>
        <v>0</v>
      </c>
      <c r="Z56" s="55"/>
      <c r="AA56" s="55"/>
    </row>
    <row r="57" spans="1:27" x14ac:dyDescent="0.25">
      <c r="A57" s="51">
        <v>26</v>
      </c>
      <c r="B57" s="52">
        <v>84818020</v>
      </c>
      <c r="C57" s="52"/>
      <c r="D57" s="52"/>
      <c r="E57" s="53" t="s">
        <v>82</v>
      </c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>
        <v>100</v>
      </c>
      <c r="S57" s="53"/>
      <c r="T57" s="53" t="s">
        <v>54</v>
      </c>
      <c r="U57" s="53"/>
      <c r="V57" s="54">
        <v>6.91</v>
      </c>
      <c r="W57" s="54"/>
      <c r="X57" s="54"/>
      <c r="Y57" s="55">
        <f>ROUND(R57*V57, 2)</f>
        <v>0</v>
      </c>
      <c r="Z57" s="55"/>
      <c r="AA57" s="55"/>
    </row>
    <row r="58" spans="1:27" x14ac:dyDescent="0.25">
      <c r="A58" s="51">
        <v>27</v>
      </c>
      <c r="B58" s="52">
        <v>84818020</v>
      </c>
      <c r="C58" s="52"/>
      <c r="D58" s="52"/>
      <c r="E58" s="53" t="s">
        <v>83</v>
      </c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>
        <v>200</v>
      </c>
      <c r="S58" s="53"/>
      <c r="T58" s="53" t="s">
        <v>54</v>
      </c>
      <c r="U58" s="53"/>
      <c r="V58" s="54">
        <v>4.49</v>
      </c>
      <c r="W58" s="54"/>
      <c r="X58" s="54"/>
      <c r="Y58" s="55">
        <f>ROUND(R58*V58, 2)</f>
        <v>0</v>
      </c>
      <c r="Z58" s="55"/>
      <c r="AA58" s="55"/>
    </row>
    <row r="59" spans="1:27" x14ac:dyDescent="0.25">
      <c r="A59" s="51">
        <v>28</v>
      </c>
      <c r="B59" s="52">
        <v>84818020</v>
      </c>
      <c r="C59" s="52"/>
      <c r="D59" s="52"/>
      <c r="E59" s="53" t="s">
        <v>84</v>
      </c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>
        <v>500</v>
      </c>
      <c r="S59" s="53"/>
      <c r="T59" s="53" t="s">
        <v>54</v>
      </c>
      <c r="U59" s="53"/>
      <c r="V59" s="54">
        <v>0.11</v>
      </c>
      <c r="W59" s="54"/>
      <c r="X59" s="54"/>
      <c r="Y59" s="55">
        <f>ROUND(R59*V59, 2)</f>
        <v>0</v>
      </c>
      <c r="Z59" s="55"/>
      <c r="AA59" s="55"/>
    </row>
    <row r="60" spans="1:27" x14ac:dyDescent="0.25">
      <c r="A60" s="57"/>
      <c r="B60" s="57"/>
      <c r="C60" s="57"/>
      <c r="D60" s="57"/>
      <c r="E60" s="47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8"/>
      <c r="R60" s="47"/>
      <c r="S60" s="48"/>
      <c r="T60" s="47"/>
      <c r="U60" s="48"/>
      <c r="V60" s="47"/>
      <c r="W60" s="49"/>
      <c r="X60" s="48"/>
      <c r="Y60" s="47"/>
      <c r="Z60" s="49"/>
      <c r="AA60" s="50"/>
    </row>
    <row r="61" spans="1:27" x14ac:dyDescent="0.25">
      <c r="A61" s="57"/>
      <c r="B61" s="57"/>
      <c r="C61" s="57"/>
      <c r="D61" s="57"/>
      <c r="E61" s="47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8"/>
      <c r="R61" s="47"/>
      <c r="S61" s="48"/>
      <c r="T61" s="47"/>
      <c r="U61" s="48"/>
      <c r="V61" s="47"/>
      <c r="W61" s="49"/>
      <c r="X61" s="48"/>
      <c r="Y61" s="47"/>
      <c r="Z61" s="49"/>
      <c r="AA61" s="50"/>
    </row>
    <row r="62" spans="1:27" x14ac:dyDescent="0.25">
      <c r="A62" s="57"/>
      <c r="B62" s="57"/>
      <c r="C62" s="57"/>
      <c r="D62" s="57"/>
      <c r="E62" s="58" t="s">
        <v>85</v>
      </c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9"/>
      <c r="S62" s="59"/>
      <c r="T62" s="59"/>
      <c r="U62" s="59"/>
      <c r="V62" s="59"/>
      <c r="W62" s="59"/>
      <c r="X62" s="59"/>
      <c r="Y62" s="60"/>
      <c r="Z62" s="60"/>
      <c r="AA62" s="60"/>
    </row>
    <row r="63" spans="1:27" x14ac:dyDescent="0.25">
      <c r="A63" s="57"/>
      <c r="B63" s="57"/>
      <c r="C63" s="57"/>
      <c r="D63" s="57"/>
      <c r="E63" s="61" t="s">
        <v>86</v>
      </c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59"/>
      <c r="S63" s="59"/>
      <c r="T63" s="59"/>
      <c r="U63" s="59"/>
      <c r="V63" s="59"/>
      <c r="W63" s="59"/>
      <c r="X63" s="59"/>
      <c r="Y63" s="60"/>
      <c r="Z63" s="60"/>
      <c r="AA63" s="60"/>
    </row>
    <row r="64" spans="1:27" x14ac:dyDescent="0.25">
      <c r="A64" s="57"/>
      <c r="B64" s="57"/>
      <c r="C64" s="57"/>
      <c r="D64" s="57"/>
      <c r="E64" s="62" t="s">
        <v>87</v>
      </c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59"/>
      <c r="S64" s="59"/>
      <c r="T64" s="59"/>
      <c r="U64" s="59"/>
      <c r="V64" s="59"/>
      <c r="W64" s="59"/>
      <c r="X64" s="59"/>
      <c r="Y64" s="60"/>
      <c r="Z64" s="60"/>
      <c r="AA64" s="60"/>
    </row>
    <row r="65" spans="1:27" x14ac:dyDescent="0.25">
      <c r="A65" s="57"/>
      <c r="B65" s="57"/>
      <c r="C65" s="57"/>
      <c r="D65" s="57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59"/>
      <c r="S65" s="59"/>
      <c r="T65" s="59"/>
      <c r="U65" s="59"/>
      <c r="V65" s="59"/>
      <c r="W65" s="59"/>
      <c r="X65" s="59"/>
      <c r="Y65" s="60"/>
      <c r="Z65" s="60"/>
      <c r="AA65" s="60"/>
    </row>
    <row r="66" spans="1:27" x14ac:dyDescent="0.25">
      <c r="A66" s="57"/>
      <c r="B66" s="57"/>
      <c r="C66" s="57"/>
      <c r="D66" s="57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60"/>
      <c r="Z66" s="60"/>
      <c r="AA66" s="60"/>
    </row>
    <row r="67" spans="1:27" x14ac:dyDescent="0.25">
      <c r="A67" s="57"/>
      <c r="B67" s="57"/>
      <c r="C67" s="57"/>
      <c r="D67" s="57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60"/>
      <c r="Z67" s="60"/>
      <c r="AA67" s="60"/>
    </row>
    <row r="68" spans="1:27" x14ac:dyDescent="0.25">
      <c r="A68" s="63" t="s">
        <v>88</v>
      </c>
      <c r="B68" s="63"/>
      <c r="C68" s="63"/>
      <c r="D68" s="63"/>
      <c r="E68" s="64" t="s">
        <v>89</v>
      </c>
      <c r="F68" s="64"/>
      <c r="G68" s="64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60"/>
      <c r="Z68" s="60"/>
      <c r="AA68" s="60"/>
    </row>
    <row r="69" spans="1:27" x14ac:dyDescent="0.25">
      <c r="A69" s="63" t="s">
        <v>90</v>
      </c>
      <c r="B69" s="63"/>
      <c r="C69" s="63"/>
      <c r="D69" s="63"/>
      <c r="E69" s="64" t="s">
        <v>91</v>
      </c>
      <c r="F69" s="64"/>
      <c r="G69" s="64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60"/>
      <c r="Z69" s="60"/>
      <c r="AA69" s="60"/>
    </row>
    <row r="70" spans="1:27" x14ac:dyDescent="0.25">
      <c r="A70" s="65" t="s">
        <v>92</v>
      </c>
      <c r="B70" s="65"/>
      <c r="C70" s="65"/>
      <c r="D70" s="65"/>
      <c r="E70" s="65"/>
      <c r="F70" s="65"/>
      <c r="G70" s="65"/>
      <c r="H70" s="45" t="s">
        <v>93</v>
      </c>
      <c r="I70" s="45"/>
      <c r="J70" s="45"/>
      <c r="K70" s="45"/>
      <c r="L70" s="45"/>
      <c r="M70" s="45"/>
      <c r="N70" s="45"/>
      <c r="O70" s="45"/>
      <c r="P70" s="45"/>
      <c r="Q70" s="45"/>
      <c r="R70" s="4">
        <f>ROUND(SUM(R30:R69), 2)</f>
        <v>0</v>
      </c>
      <c r="S70" s="4"/>
      <c r="T70" s="45" t="s">
        <v>42</v>
      </c>
      <c r="U70" s="45"/>
      <c r="V70" s="45" t="s">
        <v>94</v>
      </c>
      <c r="W70" s="45"/>
      <c r="X70" s="45"/>
      <c r="Y70" s="66">
        <f>ROUND(SUM(Y30:Y69), 2)</f>
        <v>0</v>
      </c>
      <c r="Z70" s="66"/>
      <c r="AA70" s="66"/>
    </row>
    <row r="71" spans="1:27" x14ac:dyDescent="0.25">
      <c r="A71" s="67" t="str">
        <f>INT(SUM(R30:R69)) &amp; " PIECES"</f>
        <v>0PIECES</v>
      </c>
      <c r="B71" s="67"/>
      <c r="C71" s="67"/>
      <c r="D71" s="67"/>
      <c r="E71" s="67"/>
      <c r="F71" s="67"/>
      <c r="G71" s="67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27" t="s">
        <v>54</v>
      </c>
      <c r="S71" s="27"/>
      <c r="T71" s="45" t="s">
        <v>47</v>
      </c>
      <c r="U71" s="45"/>
      <c r="V71" s="45"/>
      <c r="W71" s="45"/>
      <c r="X71" s="45"/>
      <c r="Y71" s="66"/>
      <c r="Z71" s="66"/>
      <c r="AA71" s="66"/>
    </row>
    <row r="72" spans="1:27" x14ac:dyDescent="0.25">
      <c r="A72" s="68" t="s">
        <v>95</v>
      </c>
      <c r="B72" s="68"/>
      <c r="C72" s="68"/>
      <c r="D72" s="68"/>
      <c r="E72" s="68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9" t="s">
        <v>96</v>
      </c>
      <c r="S72" s="69"/>
      <c r="T72" s="69"/>
      <c r="U72" s="69"/>
      <c r="V72" s="69"/>
      <c r="W72" s="69"/>
      <c r="X72" s="69"/>
      <c r="Y72" s="70">
        <v>12.41</v>
      </c>
      <c r="Z72" s="70"/>
      <c r="AA72" s="70"/>
    </row>
    <row r="73" spans="1:27" x14ac:dyDescent="0.25">
      <c r="A73" s="71" t="s">
        <v>97</v>
      </c>
      <c r="B73" s="71"/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69" t="s">
        <v>98</v>
      </c>
      <c r="S73" s="69"/>
      <c r="T73" s="69"/>
      <c r="U73" s="69"/>
      <c r="V73" s="69"/>
      <c r="W73" s="69"/>
      <c r="X73" s="69"/>
      <c r="Y73" s="70">
        <v>1650</v>
      </c>
      <c r="Z73" s="70"/>
      <c r="AA73" s="70"/>
    </row>
    <row r="74" spans="1:27" x14ac:dyDescent="0.25">
      <c r="A74" s="71"/>
      <c r="B74" s="71"/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69" t="s">
        <v>99</v>
      </c>
      <c r="S74" s="69"/>
      <c r="T74" s="69"/>
      <c r="U74" s="69"/>
      <c r="V74" s="69"/>
      <c r="W74" s="69"/>
      <c r="X74" s="69"/>
      <c r="Y74" s="70">
        <f>ROUND(SUM(Y69:Y73), 4)</f>
        <v>0</v>
      </c>
      <c r="Z74" s="70"/>
      <c r="AA74" s="70"/>
    </row>
    <row r="75" spans="1:27" x14ac:dyDescent="0.25">
      <c r="A75" s="72" t="s">
        <v>100</v>
      </c>
      <c r="B75" s="72"/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</row>
    <row r="76" spans="1:27" x14ac:dyDescent="0.25">
      <c r="A76" s="73" t="s">
        <v>101</v>
      </c>
      <c r="B76" s="73"/>
      <c r="C76" s="73"/>
      <c r="D76" s="73"/>
      <c r="E76" s="73"/>
      <c r="F76" s="73"/>
      <c r="G76" s="73"/>
      <c r="H76" s="73"/>
      <c r="I76" s="73"/>
      <c r="J76" s="73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  <c r="Z76" s="73"/>
      <c r="AA76" s="73"/>
    </row>
    <row r="77" spans="1:27" x14ac:dyDescent="0.25">
      <c r="A77" s="73"/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3"/>
      <c r="Z77" s="73"/>
      <c r="AA77" s="73"/>
    </row>
    <row r="78" spans="1:27" x14ac:dyDescent="0.25">
      <c r="A78" s="57"/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74" t="s">
        <v>102</v>
      </c>
      <c r="O78" s="74"/>
      <c r="P78" s="74"/>
      <c r="Q78" s="74"/>
      <c r="R78" s="74"/>
      <c r="S78" s="74"/>
      <c r="T78" s="74"/>
      <c r="U78" s="74"/>
      <c r="V78" s="74"/>
      <c r="W78" s="74"/>
      <c r="X78" s="74"/>
      <c r="Y78" s="74"/>
      <c r="Z78" s="74"/>
      <c r="AA78" s="74"/>
    </row>
    <row r="79" spans="1:27" x14ac:dyDescent="0.25">
      <c r="A79" s="57"/>
      <c r="B79" s="57"/>
      <c r="C79" s="57"/>
      <c r="D79" s="57"/>
      <c r="E79" s="57"/>
      <c r="F79" s="59"/>
      <c r="G79" s="59"/>
      <c r="H79" s="59"/>
      <c r="I79" s="59"/>
      <c r="J79" s="59"/>
      <c r="K79" s="59"/>
      <c r="L79" s="59"/>
      <c r="M79" s="59"/>
      <c r="N79" s="75" t="s">
        <v>103</v>
      </c>
      <c r="O79" s="75"/>
      <c r="P79" s="75"/>
      <c r="Q79" s="75"/>
      <c r="R79" s="75"/>
      <c r="S79" s="75"/>
      <c r="T79" s="75"/>
      <c r="U79" s="75"/>
      <c r="V79" s="75"/>
      <c r="W79" s="75"/>
      <c r="X79" s="75"/>
      <c r="Y79" s="75"/>
      <c r="Z79" s="75"/>
      <c r="AA79" s="75"/>
    </row>
    <row r="80" spans="1:27" x14ac:dyDescent="0.25">
      <c r="A80" s="57"/>
      <c r="B80" s="57"/>
      <c r="C80" s="57"/>
      <c r="D80" s="57"/>
      <c r="E80" s="57"/>
      <c r="F80" s="59"/>
      <c r="G80" s="59"/>
      <c r="H80" s="59"/>
      <c r="I80" s="59"/>
      <c r="J80" s="59"/>
      <c r="K80" s="59"/>
      <c r="L80" s="59"/>
      <c r="M80" s="59"/>
      <c r="N80" s="12"/>
      <c r="AA80" s="76"/>
    </row>
    <row r="81" spans="1:27" x14ac:dyDescent="0.25">
      <c r="A81" s="57"/>
      <c r="B81" s="57"/>
      <c r="C81" s="57"/>
      <c r="D81" s="57"/>
      <c r="E81" s="57"/>
      <c r="F81" s="59"/>
      <c r="G81" s="59"/>
      <c r="H81" s="59"/>
      <c r="I81" s="59"/>
      <c r="J81" s="59"/>
      <c r="K81" s="59"/>
      <c r="L81" s="59"/>
      <c r="M81" s="59"/>
      <c r="N81" s="12"/>
      <c r="AA81" s="76"/>
    </row>
    <row r="82" spans="1:27" x14ac:dyDescent="0.25">
      <c r="A82" s="77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8"/>
      <c r="N82" s="12"/>
      <c r="AA82" s="76"/>
    </row>
    <row r="83" spans="1:27" x14ac:dyDescent="0.25">
      <c r="A83" s="78" t="s">
        <v>104</v>
      </c>
      <c r="B83" s="78"/>
      <c r="C83" s="78"/>
      <c r="D83" s="78"/>
      <c r="E83" s="78"/>
      <c r="F83" s="78"/>
      <c r="G83" s="78"/>
      <c r="H83" s="78"/>
      <c r="I83" s="78"/>
      <c r="J83" s="78"/>
      <c r="K83" s="78"/>
      <c r="L83" s="78"/>
      <c r="M83" s="78"/>
      <c r="N83" s="12"/>
      <c r="AA83" s="76"/>
    </row>
    <row r="84" spans="1:27" x14ac:dyDescent="0.25">
      <c r="A84" s="78"/>
      <c r="B84" s="78"/>
      <c r="C84" s="7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9" t="s">
        <v>105</v>
      </c>
      <c r="O84" s="79"/>
      <c r="P84" s="79"/>
      <c r="Q84" s="79"/>
      <c r="R84" s="79"/>
      <c r="S84" s="79"/>
      <c r="T84" s="79"/>
      <c r="U84" s="79"/>
      <c r="V84" s="79"/>
      <c r="W84" s="79"/>
      <c r="X84" s="79"/>
      <c r="Y84" s="79"/>
      <c r="Z84" s="79"/>
      <c r="AA84" s="79"/>
    </row>
  </sheetData>
  <mergeCells count="271">
    <mergeCell ref="A1:AA1"/>
    <mergeCell ref="A2:AA2"/>
    <mergeCell ref="A3:N3"/>
    <mergeCell ref="O3:T3"/>
    <mergeCell ref="U3:AA3"/>
    <mergeCell ref="A4:N10"/>
    <mergeCell ref="O4:T4"/>
    <mergeCell ref="U4:AA12"/>
    <mergeCell ref="O5:T5"/>
    <mergeCell ref="O6:T6"/>
    <mergeCell ref="O7:T8"/>
    <mergeCell ref="A11:B11"/>
    <mergeCell ref="C11:N11"/>
    <mergeCell ref="A12:B12"/>
    <mergeCell ref="C12:N12"/>
    <mergeCell ref="O12:T12"/>
    <mergeCell ref="A13:N13"/>
    <mergeCell ref="O13:AA13"/>
    <mergeCell ref="A14:N19"/>
    <mergeCell ref="O14:AA19"/>
    <mergeCell ref="A20:G20"/>
    <mergeCell ref="H20:N20"/>
    <mergeCell ref="O20:V20"/>
    <mergeCell ref="W20:AA20"/>
    <mergeCell ref="A21:G21"/>
    <mergeCell ref="H21:N21"/>
    <mergeCell ref="O21:V21"/>
    <mergeCell ref="W21:AA21"/>
    <mergeCell ref="A22:G22"/>
    <mergeCell ref="H22:N22"/>
    <mergeCell ref="O22:AA22"/>
    <mergeCell ref="A23:G23"/>
    <mergeCell ref="H23:N23"/>
    <mergeCell ref="O23:AA23"/>
    <mergeCell ref="A24:G24"/>
    <mergeCell ref="H24:N24"/>
    <mergeCell ref="O24:AA25"/>
    <mergeCell ref="A25:G26"/>
    <mergeCell ref="H25:N26"/>
    <mergeCell ref="O26:U26"/>
    <mergeCell ref="V26:X26"/>
    <mergeCell ref="Y26:AA26"/>
    <mergeCell ref="A27:D27"/>
    <mergeCell ref="E27:Q28"/>
    <mergeCell ref="R27:S27"/>
    <mergeCell ref="T27:U27"/>
    <mergeCell ref="V27:X27"/>
    <mergeCell ref="Y27:AA27"/>
    <mergeCell ref="A28:D28"/>
    <mergeCell ref="R28:S28"/>
    <mergeCell ref="T28:U28"/>
    <mergeCell ref="V28:X28"/>
    <mergeCell ref="Y28:AA28"/>
    <mergeCell ref="B29:D29"/>
    <mergeCell ref="E29:Q29"/>
    <mergeCell ref="B30:D30"/>
    <mergeCell ref="E30:Q30"/>
    <mergeCell ref="R30:S30"/>
    <mergeCell ref="T30:U30"/>
    <mergeCell ref="V30:X30"/>
    <mergeCell ref="Y30:AA30"/>
    <mergeCell ref="B31:D31"/>
    <mergeCell ref="E31:Q31"/>
    <mergeCell ref="R31:S31"/>
    <mergeCell ref="T31:U31"/>
    <mergeCell ref="V31:X31"/>
    <mergeCell ref="Y31:AA31"/>
    <mergeCell ref="B32:D32"/>
    <mergeCell ref="E32:Q32"/>
    <mergeCell ref="R32:S32"/>
    <mergeCell ref="T32:U32"/>
    <mergeCell ref="V32:X32"/>
    <mergeCell ref="Y32:AA32"/>
    <mergeCell ref="B33:D33"/>
    <mergeCell ref="E33:Q33"/>
    <mergeCell ref="R33:S33"/>
    <mergeCell ref="T33:U33"/>
    <mergeCell ref="V33:X33"/>
    <mergeCell ref="Y33:AA33"/>
    <mergeCell ref="B34:D34"/>
    <mergeCell ref="E34:Q34"/>
    <mergeCell ref="R34:S34"/>
    <mergeCell ref="T34:U34"/>
    <mergeCell ref="V34:X34"/>
    <mergeCell ref="Y34:AA34"/>
    <mergeCell ref="B35:D35"/>
    <mergeCell ref="E35:Q35"/>
    <mergeCell ref="R35:S35"/>
    <mergeCell ref="T35:U35"/>
    <mergeCell ref="V35:X35"/>
    <mergeCell ref="Y35:AA35"/>
    <mergeCell ref="B36:D36"/>
    <mergeCell ref="E36:Q36"/>
    <mergeCell ref="R36:S36"/>
    <mergeCell ref="T36:U36"/>
    <mergeCell ref="V36:X36"/>
    <mergeCell ref="Y36:AA36"/>
    <mergeCell ref="B37:D37"/>
    <mergeCell ref="E37:Q37"/>
    <mergeCell ref="R37:S37"/>
    <mergeCell ref="T37:U37"/>
    <mergeCell ref="V37:X37"/>
    <mergeCell ref="Y37:AA37"/>
    <mergeCell ref="B38:D38"/>
    <mergeCell ref="E38:Q38"/>
    <mergeCell ref="R38:S38"/>
    <mergeCell ref="T38:U38"/>
    <mergeCell ref="V38:X38"/>
    <mergeCell ref="Y38:AA38"/>
    <mergeCell ref="B39:D39"/>
    <mergeCell ref="E39:Q39"/>
    <mergeCell ref="R39:S39"/>
    <mergeCell ref="T39:U39"/>
    <mergeCell ref="V39:X39"/>
    <mergeCell ref="Y39:AA39"/>
    <mergeCell ref="B40:D40"/>
    <mergeCell ref="E40:Q40"/>
    <mergeCell ref="R40:S40"/>
    <mergeCell ref="T40:U40"/>
    <mergeCell ref="V40:X40"/>
    <mergeCell ref="Y40:AA40"/>
    <mergeCell ref="B41:D41"/>
    <mergeCell ref="E41:Q41"/>
    <mergeCell ref="R41:S41"/>
    <mergeCell ref="T41:U41"/>
    <mergeCell ref="V41:X41"/>
    <mergeCell ref="Y41:AA41"/>
    <mergeCell ref="B42:D42"/>
    <mergeCell ref="E42:Q42"/>
    <mergeCell ref="R42:S42"/>
    <mergeCell ref="T42:U42"/>
    <mergeCell ref="V42:X42"/>
    <mergeCell ref="Y42:AA42"/>
    <mergeCell ref="B43:D43"/>
    <mergeCell ref="E43:Q43"/>
    <mergeCell ref="R43:S43"/>
    <mergeCell ref="T43:U43"/>
    <mergeCell ref="V43:X43"/>
    <mergeCell ref="Y43:AA43"/>
    <mergeCell ref="E44:Q44"/>
    <mergeCell ref="B45:D45"/>
    <mergeCell ref="E45:Q45"/>
    <mergeCell ref="R45:S45"/>
    <mergeCell ref="T45:U45"/>
    <mergeCell ref="V45:X45"/>
    <mergeCell ref="Y45:AA45"/>
    <mergeCell ref="E46:Q46"/>
    <mergeCell ref="B47:D47"/>
    <mergeCell ref="E47:Q47"/>
    <mergeCell ref="R47:S47"/>
    <mergeCell ref="T47:U47"/>
    <mergeCell ref="V47:X47"/>
    <mergeCell ref="Y47:AA47"/>
    <mergeCell ref="B48:D48"/>
    <mergeCell ref="E48:Q48"/>
    <mergeCell ref="R48:S48"/>
    <mergeCell ref="T48:U48"/>
    <mergeCell ref="V48:X48"/>
    <mergeCell ref="Y48:AA48"/>
    <mergeCell ref="B49:D49"/>
    <mergeCell ref="E49:Q49"/>
    <mergeCell ref="R49:S49"/>
    <mergeCell ref="T49:U49"/>
    <mergeCell ref="V49:X49"/>
    <mergeCell ref="Y49:AA49"/>
    <mergeCell ref="B50:D50"/>
    <mergeCell ref="E50:Q50"/>
    <mergeCell ref="R50:S50"/>
    <mergeCell ref="T50:U50"/>
    <mergeCell ref="V50:X50"/>
    <mergeCell ref="Y50:AA50"/>
    <mergeCell ref="B51:D51"/>
    <mergeCell ref="E51:Q51"/>
    <mergeCell ref="R51:S51"/>
    <mergeCell ref="T51:U51"/>
    <mergeCell ref="V51:X51"/>
    <mergeCell ref="Y51:AA51"/>
    <mergeCell ref="B52:D52"/>
    <mergeCell ref="E52:Q52"/>
    <mergeCell ref="R52:S52"/>
    <mergeCell ref="T52:U52"/>
    <mergeCell ref="V52:X52"/>
    <mergeCell ref="Y52:AA52"/>
    <mergeCell ref="B53:D53"/>
    <mergeCell ref="E53:Q53"/>
    <mergeCell ref="R53:S53"/>
    <mergeCell ref="T53:U53"/>
    <mergeCell ref="V53:X53"/>
    <mergeCell ref="Y53:AA53"/>
    <mergeCell ref="B54:D54"/>
    <mergeCell ref="E54:Q54"/>
    <mergeCell ref="R54:S54"/>
    <mergeCell ref="T54:U54"/>
    <mergeCell ref="V54:X54"/>
    <mergeCell ref="Y54:AA54"/>
    <mergeCell ref="B55:D55"/>
    <mergeCell ref="E55:Q55"/>
    <mergeCell ref="R55:S55"/>
    <mergeCell ref="T55:U55"/>
    <mergeCell ref="V55:X55"/>
    <mergeCell ref="Y55:AA55"/>
    <mergeCell ref="B56:D56"/>
    <mergeCell ref="E56:Q56"/>
    <mergeCell ref="R56:S56"/>
    <mergeCell ref="T56:U56"/>
    <mergeCell ref="V56:X56"/>
    <mergeCell ref="Y56:AA56"/>
    <mergeCell ref="B57:D57"/>
    <mergeCell ref="E57:Q57"/>
    <mergeCell ref="R57:S57"/>
    <mergeCell ref="T57:U57"/>
    <mergeCell ref="V57:X57"/>
    <mergeCell ref="Y57:AA57"/>
    <mergeCell ref="B58:D58"/>
    <mergeCell ref="E58:Q58"/>
    <mergeCell ref="R58:S58"/>
    <mergeCell ref="T58:U58"/>
    <mergeCell ref="V58:X58"/>
    <mergeCell ref="Y58:AA58"/>
    <mergeCell ref="B59:D59"/>
    <mergeCell ref="E59:Q59"/>
    <mergeCell ref="R59:S59"/>
    <mergeCell ref="T59:U59"/>
    <mergeCell ref="V59:X59"/>
    <mergeCell ref="Y59:AA59"/>
    <mergeCell ref="A60:D67"/>
    <mergeCell ref="E62:Q62"/>
    <mergeCell ref="R62:S69"/>
    <mergeCell ref="T62:U69"/>
    <mergeCell ref="V62:X69"/>
    <mergeCell ref="Y62:AA69"/>
    <mergeCell ref="E63:Q63"/>
    <mergeCell ref="E64:Q65"/>
    <mergeCell ref="E66:Q67"/>
    <mergeCell ref="A68:D68"/>
    <mergeCell ref="E68:G68"/>
    <mergeCell ref="H68:Q68"/>
    <mergeCell ref="A69:D69"/>
    <mergeCell ref="E69:G69"/>
    <mergeCell ref="H69:Q69"/>
    <mergeCell ref="A70:G70"/>
    <mergeCell ref="H70:Q71"/>
    <mergeCell ref="R70:S70"/>
    <mergeCell ref="T70:U70"/>
    <mergeCell ref="V70:X71"/>
    <mergeCell ref="Y70:AA71"/>
    <mergeCell ref="A71:G71"/>
    <mergeCell ref="R71:S71"/>
    <mergeCell ref="T71:U71"/>
    <mergeCell ref="A72:Q72"/>
    <mergeCell ref="R72:X72"/>
    <mergeCell ref="Y72:AA72"/>
    <mergeCell ref="A73:Q74"/>
    <mergeCell ref="R73:X73"/>
    <mergeCell ref="Y73:AA73"/>
    <mergeCell ref="R74:X74"/>
    <mergeCell ref="Y74:AA74"/>
    <mergeCell ref="A75:AA75"/>
    <mergeCell ref="A76:AA77"/>
    <mergeCell ref="A78:M78"/>
    <mergeCell ref="N78:AA78"/>
    <mergeCell ref="A79:E79"/>
    <mergeCell ref="F79:M79"/>
    <mergeCell ref="N79:AA79"/>
    <mergeCell ref="A80:E80"/>
    <mergeCell ref="F80:M80"/>
    <mergeCell ref="A81:E81"/>
    <mergeCell ref="F81:I81"/>
    <mergeCell ref="J81:M81"/>
    <mergeCell ref="A83:M84"/>
    <mergeCell ref="N84:AA84"/>
  </mergeCells>
  <printOptions horizontalCentered="1"/>
  <pageMargins left="0.2" right="0.2" top="0.4" bottom="0.4" header="0.2" footer="0.2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2025-08-17T09:31:27Z</dcterms:created>
  <dcterms:modified xsi:type="dcterms:W3CDTF">2025-08-17T09:31:27Z</dcterms:modified>
</cp:coreProperties>
</file>