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<sst xmlns="http://schemas.openxmlformats.org/spreadsheetml/2006/main" count="134" uniqueCount="82">
  <si>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</si>
  <si>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</si>
  <si>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</si>
  <si>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</si>
  <si>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INV/0111/2024-25</t>
  </si>
  <si>
    <t xml:space="preserve">I. E. Code #: AACFZ6694H
PAN No #: AACFZ6694H
GSTIN No #: 24AACFZ6694H1ZP
STATE CODE : 24</t>
  </si>
  <si>
    <t>Dt. 22/2/2025</t>
  </si>
  <si>
    <t>Buyer's Order no. &amp; Date</t>
  </si>
  <si>
    <t>Exp/0113/2024-25    28/01/2024</t>
  </si>
  <si>
    <t>EMAIL:</t>
  </si>
  <si>
    <t>info@zericceramic.com</t>
  </si>
  <si>
    <t>TAX ID:</t>
  </si>
  <si>
    <t>24AACFZ6694H1ZP</t>
  </si>
  <si>
    <t>PO No: ABC123</t>
  </si>
  <si>
    <t>Consignee:</t>
  </si>
  <si>
    <t>Notify Party # :</t>
  </si>
  <si>
    <t>XYZ</t>
  </si>
  <si>
    <t>ABC</t>
  </si>
  <si>
    <t>Pre-Carriage By</t>
  </si>
  <si>
    <t>Place of Receipt by Pre-Carrier</t>
  </si>
  <si>
    <t>Country of Origin of Goods : INDIA</t>
  </si>
  <si>
    <t>Country of Final Destination</t>
  </si>
  <si>
    <t/>
  </si>
  <si>
    <t>MORBI</t>
  </si>
  <si>
    <t>ORIGIN : DISTRICT MORBI, STATE GUJARAT</t>
  </si>
  <si>
    <t>USA</t>
  </si>
  <si>
    <t>Vessel Flight No.</t>
  </si>
  <si>
    <t>Port of Loading</t>
  </si>
  <si>
    <t>Terms of Delivery &amp; Payment :-</t>
  </si>
  <si>
    <t>MUNDRA</t>
  </si>
  <si>
    <t>FOB AT MUNDRA PORT</t>
  </si>
  <si>
    <t>Port of Discharge</t>
  </si>
  <si>
    <t>Final Destination</t>
  </si>
  <si>
    <t>PAYMENT : 14776.00 EURO ADVANCE REMAINING AGAINST SCAN OF BL</t>
  </si>
  <si>
    <t>NEW YORK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</si>
  <si>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</si>
  <si>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</si>
  <si>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</si>
  <si>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</si>
  <si>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</si>
  <si>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</si>
  <si>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</si>
  <si>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</si>
  <si>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</si>
  <si>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</si>
  <si>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</si>
  <si>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</si>
  <si>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LUCKY PANDA</t>
  </si>
  <si>
    <t>600 X 1200</t>
  </si>
  <si>
    <t>ERICA DARK</t>
  </si>
  <si>
    <t>SWISS CARRARA</t>
  </si>
  <si>
    <t>ALMERIA</t>
  </si>
  <si>
    <t>600 X 600</t>
  </si>
  <si>
    <t>ANTY SKY</t>
  </si>
  <si>
    <t>CULCUTTA WHITE</t>
  </si>
  <si>
    <t>NEBULA LIGHT</t>
  </si>
  <si>
    <t>Glazed Ceramic Wall Tiles</t>
  </si>
  <si>
    <t>1621</t>
  </si>
  <si>
    <t>300 X 600</t>
  </si>
  <si>
    <t>1623</t>
  </si>
  <si>
    <t>8529 - DARK</t>
  </si>
  <si>
    <t>1011 - LT</t>
  </si>
  <si>
    <t>1508 - LT</t>
  </si>
  <si>
    <t>5264 - LT R</t>
  </si>
  <si>
    <t>5266 - LT R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</si>
  <si>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</si>
  <si>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</si>
  <si>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</si>
  <si>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</si>
  <si>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</si>
  <si>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</si>
  <si>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SEGU1787598</t>
  </si>
  <si>
    <t>R 83530888</t>
  </si>
  <si>
    <t>SPPL 4023 1111</t>
  </si>
  <si>
    <t>TILES</t>
  </si>
  <si>
    <t>Total     &gt;&gt;&gt;&gt;&gt;&gt;&gt;&gt;&gt;&gt;</t>
  </si>
  <si>
    <t>TOTAL PALLET - 199 NOS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</si>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</sst>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b/>
      <u/>
      <sz val="10"/>
    </font>
    <font>
      <sz val="11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2" fillId="0" borderId="5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2" fontId="2" fillId="0" borderId="20" xfId="0" applyNumberFormat="1" applyFont="1" applyBorder="1" applyAlignment="1">
      <alignment horizontal="center" vertical="center" wrapText="1"/>
    </xf>
    <xf numFmtId="2" fontId="2" fillId="0" borderId="26" xfId="0" applyNumberFormat="1" applyFont="1" applyBorder="1" applyAlignment="1">
      <alignment horizontal="center" vertical="center" wrapText="1"/>
    </xf>
    <xf numFmtId="0" fontId="0" fillId="0" borderId="21" xfId="0" applyBorder="1"/>
    <xf numFmtId="0" fontId="2" fillId="0" borderId="2" xfId="0" applyFont="1" applyBorder="1"/>
    <xf numFmtId="0" fontId="1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2" fontId="5" fillId="0" borderId="20" xfId="0" applyNumberFormat="1" applyFont="1" applyBorder="1" applyAlignment="1">
      <alignment horizontal="center" vertical="center"/>
    </xf>
    <xf numFmtId="2" fontId="5" fillId="0" borderId="2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63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9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 t="s">
        <v>8</v>
      </c>
      <c r="O6" s="9"/>
      <c r="P6" s="9"/>
      <c r="Q6" s="9"/>
      <c r="R6" s="9"/>
      <c r="S6" s="9"/>
      <c r="T6" s="9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O7" s="9"/>
      <c r="P7" s="9"/>
      <c r="Q7" s="9"/>
      <c r="R7" s="9"/>
      <c r="S7" s="9"/>
      <c r="T7" s="9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0"/>
      <c r="T8" s="11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0"/>
      <c r="T9" s="11"/>
      <c r="U9" s="6"/>
      <c r="V9" s="6"/>
      <c r="W9" s="6"/>
      <c r="X9" s="6"/>
      <c r="Y9" s="6"/>
      <c r="Z9" s="6"/>
      <c r="AA9" s="6"/>
    </row>
    <row r="10" spans="1:27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0"/>
      <c r="T10" s="11"/>
      <c r="U10" s="6"/>
      <c r="V10" s="6"/>
      <c r="W10" s="6"/>
      <c r="X10" s="6"/>
      <c r="Y10" s="6"/>
      <c r="Z10" s="6"/>
      <c r="AA10" s="6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6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8" t="s">
        <v>18</v>
      </c>
      <c r="B19" s="18"/>
      <c r="C19" s="18"/>
      <c r="D19" s="18"/>
      <c r="E19" s="18"/>
      <c r="F19" s="18"/>
      <c r="G19" s="19" t="s">
        <v>19</v>
      </c>
      <c r="H19" s="19"/>
      <c r="I19" s="19"/>
      <c r="J19" s="19"/>
      <c r="K19" s="19"/>
      <c r="L19" s="19"/>
      <c r="M19" s="19"/>
      <c r="N19" s="19" t="s">
        <v>20</v>
      </c>
      <c r="O19" s="19"/>
      <c r="P19" s="19"/>
      <c r="Q19" s="19"/>
      <c r="R19" s="19"/>
      <c r="S19" s="19"/>
      <c r="T19" s="19"/>
      <c r="U19" s="19"/>
      <c r="V19" s="19"/>
      <c r="W19" s="20" t="s">
        <v>21</v>
      </c>
      <c r="X19" s="20"/>
      <c r="Y19" s="20"/>
      <c r="Z19" s="20"/>
      <c r="AA19" s="20"/>
    </row>
    <row r="20" spans="1:27" x14ac:dyDescent="0.25">
      <c r="A20" s="21" t="s">
        <v>22</v>
      </c>
      <c r="B20" s="21"/>
      <c r="C20" s="21"/>
      <c r="D20" s="21"/>
      <c r="E20" s="21"/>
      <c r="F20" s="21"/>
      <c r="G20" s="22" t="s">
        <v>23</v>
      </c>
      <c r="H20" s="22"/>
      <c r="I20" s="22"/>
      <c r="J20" s="22"/>
      <c r="K20" s="22"/>
      <c r="L20" s="22"/>
      <c r="M20" s="22"/>
      <c r="N20" s="22" t="s">
        <v>24</v>
      </c>
      <c r="O20" s="22"/>
      <c r="P20" s="22"/>
      <c r="Q20" s="22"/>
      <c r="R20" s="22"/>
      <c r="S20" s="22"/>
      <c r="T20" s="22"/>
      <c r="U20" s="22"/>
      <c r="V20" s="22"/>
      <c r="W20" s="23" t="s">
        <v>25</v>
      </c>
      <c r="X20" s="23"/>
      <c r="Y20" s="23"/>
      <c r="Z20" s="23"/>
      <c r="AA20" s="23"/>
    </row>
    <row r="21" spans="1:27" x14ac:dyDescent="0.25">
      <c r="A21" s="18" t="s">
        <v>26</v>
      </c>
      <c r="B21" s="18"/>
      <c r="C21" s="18"/>
      <c r="D21" s="18"/>
      <c r="E21" s="18"/>
      <c r="F21" s="18"/>
      <c r="G21" s="19" t="s">
        <v>27</v>
      </c>
      <c r="H21" s="19"/>
      <c r="I21" s="19"/>
      <c r="J21" s="19"/>
      <c r="K21" s="19"/>
      <c r="L21" s="19"/>
      <c r="M21" s="19"/>
      <c r="N21" s="24" t="s">
        <v>28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1" t="s">
        <v>22</v>
      </c>
      <c r="B22" s="21"/>
      <c r="C22" s="21"/>
      <c r="D22" s="21"/>
      <c r="E22" s="21"/>
      <c r="F22" s="21"/>
      <c r="G22" s="22" t="s">
        <v>29</v>
      </c>
      <c r="H22" s="22"/>
      <c r="I22" s="22"/>
      <c r="J22" s="22"/>
      <c r="K22" s="22"/>
      <c r="L22" s="22"/>
      <c r="M22" s="22"/>
      <c r="N22" s="25" t="s">
        <v>30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18" t="s">
        <v>31</v>
      </c>
      <c r="B23" s="18"/>
      <c r="C23" s="18"/>
      <c r="D23" s="18"/>
      <c r="E23" s="18"/>
      <c r="F23" s="18"/>
      <c r="G23" s="19" t="s">
        <v>32</v>
      </c>
      <c r="H23" s="19"/>
      <c r="I23" s="19"/>
      <c r="J23" s="19"/>
      <c r="K23" s="19"/>
      <c r="L23" s="19"/>
      <c r="M23" s="19"/>
      <c r="N23" s="26" t="s">
        <v>33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7" t="s">
        <v>34</v>
      </c>
      <c r="B24" s="27"/>
      <c r="C24" s="27"/>
      <c r="D24" s="27"/>
      <c r="E24" s="27"/>
      <c r="F24" s="27"/>
      <c r="G24" s="28" t="s">
        <v>25</v>
      </c>
      <c r="H24" s="28"/>
      <c r="I24" s="28"/>
      <c r="J24" s="28"/>
      <c r="K24" s="28"/>
      <c r="L24" s="28"/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7"/>
      <c r="B25" s="27"/>
      <c r="C25" s="27"/>
      <c r="D25" s="27"/>
      <c r="E25" s="27"/>
      <c r="F25" s="27"/>
      <c r="G25" s="28"/>
      <c r="H25" s="28"/>
      <c r="I25" s="28"/>
      <c r="J25" s="28"/>
      <c r="K25" s="28"/>
      <c r="L25" s="28"/>
      <c r="M25" s="28"/>
      <c r="N25" s="29" t="s">
        <v>35</v>
      </c>
      <c r="O25" s="29"/>
      <c r="P25" s="29"/>
      <c r="Q25" s="29"/>
      <c r="R25" s="29"/>
      <c r="S25" s="29"/>
      <c r="T25" s="29"/>
      <c r="U25" s="29"/>
      <c r="V25" s="29"/>
      <c r="W25" s="30"/>
      <c r="X25" s="30"/>
      <c r="Y25" s="30"/>
      <c r="Z25" s="30"/>
      <c r="AA25" s="31"/>
    </row>
    <row r="26" spans="1:27" x14ac:dyDescent="0.25">
      <c r="A26" s="32" t="s">
        <v>36</v>
      </c>
      <c r="B26" s="32"/>
      <c r="C26" s="32"/>
      <c r="D26" s="32"/>
      <c r="E26" s="33" t="s">
        <v>37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" t="s">
        <v>38</v>
      </c>
      <c r="R26" s="3"/>
      <c r="S26" s="3"/>
      <c r="T26" s="3"/>
      <c r="U26" s="3"/>
      <c r="V26" s="3" t="s">
        <v>39</v>
      </c>
      <c r="W26" s="3"/>
      <c r="X26" s="3"/>
      <c r="Y26" s="34" t="s">
        <v>40</v>
      </c>
      <c r="Z26" s="34"/>
      <c r="AA26" s="34"/>
    </row>
    <row r="27" spans="1:27" x14ac:dyDescent="0.25">
      <c r="A27" s="21" t="s">
        <v>41</v>
      </c>
      <c r="B27" s="21"/>
      <c r="C27" s="21"/>
      <c r="D27" s="21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2" t="s">
        <v>42</v>
      </c>
      <c r="R27" s="22"/>
      <c r="S27" s="22"/>
      <c r="T27" s="22"/>
      <c r="U27" s="22"/>
      <c r="V27" s="22" t="s">
        <v>43</v>
      </c>
      <c r="W27" s="22"/>
      <c r="X27" s="22"/>
      <c r="Y27" s="23" t="s">
        <v>43</v>
      </c>
      <c r="Z27" s="23"/>
      <c r="AA27" s="23"/>
    </row>
    <row r="28" ht="46" customHeight="1" spans="1:27" x14ac:dyDescent="0.25">
      <c r="A28" s="35" t="s">
        <v>44</v>
      </c>
      <c r="B28" s="33" t="s">
        <v>45</v>
      </c>
      <c r="C28" s="33"/>
      <c r="D28" s="33"/>
      <c r="E28" s="36" t="s">
        <v>46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  <c r="R28" s="38"/>
      <c r="S28" s="38"/>
      <c r="T28" s="38"/>
      <c r="U28" s="39"/>
      <c r="V28" s="37"/>
      <c r="W28" s="38"/>
      <c r="X28" s="39"/>
      <c r="Y28" s="37"/>
      <c r="Z28" s="38"/>
      <c r="AA28" s="40"/>
    </row>
    <row r="29" spans="1:27" x14ac:dyDescent="0.25">
      <c r="A29" s="41">
        <v>1</v>
      </c>
      <c r="B29" s="42">
        <v>69072100</v>
      </c>
      <c r="C29" s="42"/>
      <c r="D29" s="42"/>
      <c r="E29" s="43" t="s">
        <v>47</v>
      </c>
      <c r="F29" s="43"/>
      <c r="G29" s="43"/>
      <c r="H29" s="43"/>
      <c r="I29" s="43"/>
      <c r="J29" s="43"/>
      <c r="K29" s="43" t="s">
        <v>48</v>
      </c>
      <c r="L29" s="43"/>
      <c r="M29" s="43"/>
      <c r="N29" s="43"/>
      <c r="O29" s="43"/>
      <c r="P29" s="43"/>
      <c r="Q29" s="44">
        <v>1000</v>
      </c>
      <c r="R29" s="44"/>
      <c r="S29" s="44"/>
      <c r="T29" s="44"/>
      <c r="U29" s="44"/>
      <c r="V29" s="45">
        <v>27100</v>
      </c>
      <c r="W29" s="45"/>
      <c r="X29" s="45"/>
      <c r="Y29" s="46">
        <v>27500</v>
      </c>
      <c r="Z29" s="46"/>
      <c r="AA29" s="46"/>
    </row>
    <row r="30" spans="1:27" x14ac:dyDescent="0.25">
      <c r="A30" s="41">
        <v>2</v>
      </c>
      <c r="B30" s="42">
        <v>69072100</v>
      </c>
      <c r="C30" s="42"/>
      <c r="D30" s="42"/>
      <c r="E30" s="43" t="s">
        <v>49</v>
      </c>
      <c r="F30" s="43"/>
      <c r="G30" s="43"/>
      <c r="H30" s="43"/>
      <c r="I30" s="43"/>
      <c r="J30" s="43"/>
      <c r="K30" s="43" t="s">
        <v>48</v>
      </c>
      <c r="L30" s="43"/>
      <c r="M30" s="43"/>
      <c r="N30" s="43"/>
      <c r="O30" s="43"/>
      <c r="P30" s="43"/>
      <c r="Q30" s="44">
        <v>1000</v>
      </c>
      <c r="R30" s="44"/>
      <c r="S30" s="44"/>
      <c r="T30" s="44"/>
      <c r="U30" s="44"/>
      <c r="V30" s="45">
        <v>27100</v>
      </c>
      <c r="W30" s="45"/>
      <c r="X30" s="45"/>
      <c r="Y30" s="46">
        <v>27500</v>
      </c>
      <c r="Z30" s="46"/>
      <c r="AA30" s="46"/>
    </row>
    <row r="31" spans="1:27" x14ac:dyDescent="0.25">
      <c r="A31" s="41">
        <v>3</v>
      </c>
      <c r="B31" s="42">
        <v>69072100</v>
      </c>
      <c r="C31" s="42"/>
      <c r="D31" s="42"/>
      <c r="E31" s="43" t="s">
        <v>50</v>
      </c>
      <c r="F31" s="43"/>
      <c r="G31" s="43"/>
      <c r="H31" s="43"/>
      <c r="I31" s="43"/>
      <c r="J31" s="43"/>
      <c r="K31" s="43" t="s">
        <v>48</v>
      </c>
      <c r="L31" s="43"/>
      <c r="M31" s="43"/>
      <c r="N31" s="43"/>
      <c r="O31" s="43"/>
      <c r="P31" s="43"/>
      <c r="Q31" s="44">
        <v>1000</v>
      </c>
      <c r="R31" s="44"/>
      <c r="S31" s="44"/>
      <c r="T31" s="44"/>
      <c r="U31" s="44"/>
      <c r="V31" s="45">
        <v>27000</v>
      </c>
      <c r="W31" s="45"/>
      <c r="X31" s="45"/>
      <c r="Y31" s="46">
        <v>27200</v>
      </c>
      <c r="Z31" s="46"/>
      <c r="AA31" s="46"/>
    </row>
    <row r="32" spans="1:27" x14ac:dyDescent="0.25">
      <c r="A32" s="41">
        <v>4</v>
      </c>
      <c r="B32" s="42">
        <v>69072100</v>
      </c>
      <c r="C32" s="42"/>
      <c r="D32" s="42"/>
      <c r="E32" s="43" t="s">
        <v>51</v>
      </c>
      <c r="F32" s="43"/>
      <c r="G32" s="43"/>
      <c r="H32" s="43"/>
      <c r="I32" s="43"/>
      <c r="J32" s="43"/>
      <c r="K32" s="43" t="s">
        <v>52</v>
      </c>
      <c r="L32" s="43"/>
      <c r="M32" s="43"/>
      <c r="N32" s="43"/>
      <c r="O32" s="43"/>
      <c r="P32" s="43"/>
      <c r="Q32" s="44">
        <v>1000</v>
      </c>
      <c r="R32" s="44"/>
      <c r="S32" s="44"/>
      <c r="T32" s="44"/>
      <c r="U32" s="44"/>
      <c r="V32" s="45">
        <v>26100</v>
      </c>
      <c r="W32" s="45"/>
      <c r="X32" s="45"/>
      <c r="Y32" s="46">
        <v>26500</v>
      </c>
      <c r="Z32" s="46"/>
      <c r="AA32" s="46"/>
    </row>
    <row r="33" spans="1:27" x14ac:dyDescent="0.25">
      <c r="A33" s="41">
        <v>5</v>
      </c>
      <c r="B33" s="42">
        <v>69072100</v>
      </c>
      <c r="C33" s="42"/>
      <c r="D33" s="42"/>
      <c r="E33" s="43" t="s">
        <v>53</v>
      </c>
      <c r="F33" s="43"/>
      <c r="G33" s="43"/>
      <c r="H33" s="43"/>
      <c r="I33" s="43"/>
      <c r="J33" s="43"/>
      <c r="K33" s="43" t="s">
        <v>52</v>
      </c>
      <c r="L33" s="43"/>
      <c r="M33" s="43"/>
      <c r="N33" s="43"/>
      <c r="O33" s="43"/>
      <c r="P33" s="43"/>
      <c r="Q33" s="44">
        <v>1000</v>
      </c>
      <c r="R33" s="44"/>
      <c r="S33" s="44"/>
      <c r="T33" s="44"/>
      <c r="U33" s="44"/>
      <c r="V33" s="45">
        <v>26100</v>
      </c>
      <c r="W33" s="45"/>
      <c r="X33" s="45"/>
      <c r="Y33" s="46">
        <v>26500</v>
      </c>
      <c r="Z33" s="46"/>
      <c r="AA33" s="46"/>
    </row>
    <row r="34" spans="1:27" x14ac:dyDescent="0.25">
      <c r="A34" s="41">
        <v>6</v>
      </c>
      <c r="B34" s="42">
        <v>69072100</v>
      </c>
      <c r="C34" s="42"/>
      <c r="D34" s="42"/>
      <c r="E34" s="43" t="s">
        <v>54</v>
      </c>
      <c r="F34" s="43"/>
      <c r="G34" s="43"/>
      <c r="H34" s="43"/>
      <c r="I34" s="43"/>
      <c r="J34" s="43"/>
      <c r="K34" s="43" t="s">
        <v>52</v>
      </c>
      <c r="L34" s="43"/>
      <c r="M34" s="43"/>
      <c r="N34" s="43"/>
      <c r="O34" s="43"/>
      <c r="P34" s="43"/>
      <c r="Q34" s="44">
        <v>1000</v>
      </c>
      <c r="R34" s="44"/>
      <c r="S34" s="44"/>
      <c r="T34" s="44"/>
      <c r="U34" s="44"/>
      <c r="V34" s="45">
        <v>26000</v>
      </c>
      <c r="W34" s="45"/>
      <c r="X34" s="45"/>
      <c r="Y34" s="46">
        <v>26200</v>
      </c>
      <c r="Z34" s="46"/>
      <c r="AA34" s="46"/>
    </row>
    <row r="35" spans="1:27" x14ac:dyDescent="0.25">
      <c r="A35" s="41">
        <v>7</v>
      </c>
      <c r="B35" s="42">
        <v>69072100</v>
      </c>
      <c r="C35" s="42"/>
      <c r="D35" s="42"/>
      <c r="E35" s="43" t="s">
        <v>55</v>
      </c>
      <c r="F35" s="43"/>
      <c r="G35" s="43"/>
      <c r="H35" s="43"/>
      <c r="I35" s="43"/>
      <c r="J35" s="43"/>
      <c r="K35" s="43" t="s">
        <v>52</v>
      </c>
      <c r="L35" s="43"/>
      <c r="M35" s="43"/>
      <c r="N35" s="43"/>
      <c r="O35" s="43"/>
      <c r="P35" s="43"/>
      <c r="Q35" s="44">
        <v>1000</v>
      </c>
      <c r="R35" s="44"/>
      <c r="S35" s="44"/>
      <c r="T35" s="44"/>
      <c r="U35" s="44"/>
      <c r="V35" s="45">
        <v>26100</v>
      </c>
      <c r="W35" s="45"/>
      <c r="X35" s="45"/>
      <c r="Y35" s="46">
        <v>26500</v>
      </c>
      <c r="Z35" s="46"/>
      <c r="AA35" s="46"/>
    </row>
    <row r="36" ht="46" customHeight="1" spans="1:27" x14ac:dyDescent="0.25">
      <c r="A36" s="47"/>
      <c r="B36" s="37"/>
      <c r="C36" s="38"/>
      <c r="D36" s="39"/>
      <c r="E36" s="36" t="s">
        <v>56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7"/>
      <c r="R36" s="38"/>
      <c r="S36" s="38"/>
      <c r="T36" s="38"/>
      <c r="U36" s="39"/>
      <c r="V36" s="37"/>
      <c r="W36" s="38"/>
      <c r="X36" s="39"/>
      <c r="Y36" s="37"/>
      <c r="Z36" s="38"/>
      <c r="AA36" s="40"/>
    </row>
    <row r="37" spans="1:27" x14ac:dyDescent="0.25">
      <c r="A37" s="41">
        <v>8</v>
      </c>
      <c r="B37" s="42">
        <v>69072300</v>
      </c>
      <c r="C37" s="42"/>
      <c r="D37" s="42"/>
      <c r="E37" s="43" t="s">
        <v>57</v>
      </c>
      <c r="F37" s="43"/>
      <c r="G37" s="43"/>
      <c r="H37" s="43"/>
      <c r="I37" s="43"/>
      <c r="J37" s="43"/>
      <c r="K37" s="43" t="s">
        <v>58</v>
      </c>
      <c r="L37" s="43"/>
      <c r="M37" s="43"/>
      <c r="N37" s="43"/>
      <c r="O37" s="43"/>
      <c r="P37" s="43"/>
      <c r="Q37" s="44">
        <v>1000</v>
      </c>
      <c r="R37" s="44"/>
      <c r="S37" s="44"/>
      <c r="T37" s="44"/>
      <c r="U37" s="44"/>
      <c r="V37" s="45">
        <v>13950</v>
      </c>
      <c r="W37" s="45"/>
      <c r="X37" s="45"/>
      <c r="Y37" s="46">
        <v>14200</v>
      </c>
      <c r="Z37" s="46"/>
      <c r="AA37" s="46"/>
    </row>
    <row r="38" spans="1:27" x14ac:dyDescent="0.25">
      <c r="A38" s="41">
        <v>9</v>
      </c>
      <c r="B38" s="42">
        <v>69072300</v>
      </c>
      <c r="C38" s="42"/>
      <c r="D38" s="42"/>
      <c r="E38" s="43" t="s">
        <v>59</v>
      </c>
      <c r="F38" s="43"/>
      <c r="G38" s="43"/>
      <c r="H38" s="43"/>
      <c r="I38" s="43"/>
      <c r="J38" s="43"/>
      <c r="K38" s="43" t="s">
        <v>58</v>
      </c>
      <c r="L38" s="43"/>
      <c r="M38" s="43"/>
      <c r="N38" s="43"/>
      <c r="O38" s="43"/>
      <c r="P38" s="43"/>
      <c r="Q38" s="44">
        <v>1000</v>
      </c>
      <c r="R38" s="44"/>
      <c r="S38" s="44"/>
      <c r="T38" s="44"/>
      <c r="U38" s="44"/>
      <c r="V38" s="45">
        <v>13950</v>
      </c>
      <c r="W38" s="45"/>
      <c r="X38" s="45"/>
      <c r="Y38" s="46">
        <v>14200</v>
      </c>
      <c r="Z38" s="46"/>
      <c r="AA38" s="46"/>
    </row>
    <row r="39" spans="1:27" x14ac:dyDescent="0.25">
      <c r="A39" s="41">
        <v>10</v>
      </c>
      <c r="B39" s="42">
        <v>69072300</v>
      </c>
      <c r="C39" s="42"/>
      <c r="D39" s="42"/>
      <c r="E39" s="43" t="s">
        <v>60</v>
      </c>
      <c r="F39" s="43"/>
      <c r="G39" s="43"/>
      <c r="H39" s="43"/>
      <c r="I39" s="43"/>
      <c r="J39" s="43"/>
      <c r="K39" s="43" t="s">
        <v>58</v>
      </c>
      <c r="L39" s="43"/>
      <c r="M39" s="43"/>
      <c r="N39" s="43"/>
      <c r="O39" s="43"/>
      <c r="P39" s="43"/>
      <c r="Q39" s="44">
        <v>1000</v>
      </c>
      <c r="R39" s="44"/>
      <c r="S39" s="44"/>
      <c r="T39" s="44"/>
      <c r="U39" s="44"/>
      <c r="V39" s="45">
        <v>13900</v>
      </c>
      <c r="W39" s="45"/>
      <c r="X39" s="45"/>
      <c r="Y39" s="46">
        <v>14250</v>
      </c>
      <c r="Z39" s="46"/>
      <c r="AA39" s="46"/>
    </row>
    <row r="40" spans="1:27" x14ac:dyDescent="0.25">
      <c r="A40" s="41">
        <v>11</v>
      </c>
      <c r="B40" s="42">
        <v>69072300</v>
      </c>
      <c r="C40" s="42"/>
      <c r="D40" s="42"/>
      <c r="E40" s="43" t="s">
        <v>61</v>
      </c>
      <c r="F40" s="43"/>
      <c r="G40" s="43"/>
      <c r="H40" s="43"/>
      <c r="I40" s="43"/>
      <c r="J40" s="43"/>
      <c r="K40" s="43" t="s">
        <v>58</v>
      </c>
      <c r="L40" s="43"/>
      <c r="M40" s="43"/>
      <c r="N40" s="43"/>
      <c r="O40" s="43"/>
      <c r="P40" s="43"/>
      <c r="Q40" s="44">
        <v>1000</v>
      </c>
      <c r="R40" s="44"/>
      <c r="S40" s="44"/>
      <c r="T40" s="44"/>
      <c r="U40" s="44"/>
      <c r="V40" s="45">
        <v>13800</v>
      </c>
      <c r="W40" s="45"/>
      <c r="X40" s="45"/>
      <c r="Y40" s="46">
        <v>14250</v>
      </c>
      <c r="Z40" s="46"/>
      <c r="AA40" s="46"/>
    </row>
    <row r="41" spans="1:27" x14ac:dyDescent="0.25">
      <c r="A41" s="41">
        <v>12</v>
      </c>
      <c r="B41" s="42">
        <v>69072300</v>
      </c>
      <c r="C41" s="42"/>
      <c r="D41" s="42"/>
      <c r="E41" s="43" t="s">
        <v>62</v>
      </c>
      <c r="F41" s="43"/>
      <c r="G41" s="43"/>
      <c r="H41" s="43"/>
      <c r="I41" s="43"/>
      <c r="J41" s="43"/>
      <c r="K41" s="43" t="s">
        <v>58</v>
      </c>
      <c r="L41" s="43"/>
      <c r="M41" s="43"/>
      <c r="N41" s="43"/>
      <c r="O41" s="43"/>
      <c r="P41" s="43"/>
      <c r="Q41" s="44">
        <v>1000</v>
      </c>
      <c r="R41" s="44"/>
      <c r="S41" s="44"/>
      <c r="T41" s="44"/>
      <c r="U41" s="44"/>
      <c r="V41" s="45">
        <v>13500</v>
      </c>
      <c r="W41" s="45"/>
      <c r="X41" s="45"/>
      <c r="Y41" s="46">
        <v>14210</v>
      </c>
      <c r="Z41" s="46"/>
      <c r="AA41" s="46"/>
    </row>
    <row r="42" spans="1:27" x14ac:dyDescent="0.25">
      <c r="A42" s="41">
        <v>13</v>
      </c>
      <c r="B42" s="42">
        <v>69072300</v>
      </c>
      <c r="C42" s="42"/>
      <c r="D42" s="42"/>
      <c r="E42" s="43" t="s">
        <v>63</v>
      </c>
      <c r="F42" s="43"/>
      <c r="G42" s="43"/>
      <c r="H42" s="43"/>
      <c r="I42" s="43"/>
      <c r="J42" s="43"/>
      <c r="K42" s="43" t="s">
        <v>58</v>
      </c>
      <c r="L42" s="43"/>
      <c r="M42" s="43"/>
      <c r="N42" s="43"/>
      <c r="O42" s="43"/>
      <c r="P42" s="43"/>
      <c r="Q42" s="44">
        <v>1000</v>
      </c>
      <c r="R42" s="44"/>
      <c r="S42" s="44"/>
      <c r="T42" s="44"/>
      <c r="U42" s="44"/>
      <c r="V42" s="45">
        <v>13700</v>
      </c>
      <c r="W42" s="45"/>
      <c r="X42" s="45"/>
      <c r="Y42" s="46">
        <v>14220</v>
      </c>
      <c r="Z42" s="46"/>
      <c r="AA42" s="46"/>
    </row>
    <row r="43" spans="1:27" x14ac:dyDescent="0.25">
      <c r="A43" s="41">
        <v>14</v>
      </c>
      <c r="B43" s="42">
        <v>69072300</v>
      </c>
      <c r="C43" s="42"/>
      <c r="D43" s="42"/>
      <c r="E43" s="43" t="s">
        <v>64</v>
      </c>
      <c r="F43" s="43"/>
      <c r="G43" s="43"/>
      <c r="H43" s="43"/>
      <c r="I43" s="43"/>
      <c r="J43" s="43"/>
      <c r="K43" s="43" t="s">
        <v>58</v>
      </c>
      <c r="L43" s="43"/>
      <c r="M43" s="43"/>
      <c r="N43" s="43"/>
      <c r="O43" s="43"/>
      <c r="P43" s="43"/>
      <c r="Q43" s="44">
        <v>1000</v>
      </c>
      <c r="R43" s="44"/>
      <c r="S43" s="44"/>
      <c r="T43" s="44"/>
      <c r="U43" s="44"/>
      <c r="V43" s="45">
        <v>13600</v>
      </c>
      <c r="W43" s="45"/>
      <c r="X43" s="45"/>
      <c r="Y43" s="46">
        <v>14210</v>
      </c>
      <c r="Z43" s="46"/>
      <c r="AA43" s="46"/>
    </row>
    <row r="44" spans="1:27" x14ac:dyDescent="0.25">
      <c r="A44" s="48"/>
      <c r="B44" s="48"/>
      <c r="C44" s="48"/>
      <c r="D44" s="48"/>
      <c r="E44" s="49" t="s">
        <v>65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50"/>
      <c r="R44" s="50"/>
      <c r="S44" s="50"/>
      <c r="T44" s="50"/>
      <c r="U44" s="50"/>
      <c r="V44" s="51"/>
      <c r="W44" s="51"/>
      <c r="X44" s="51"/>
      <c r="Y44" s="52"/>
      <c r="Z44" s="52"/>
      <c r="AA44" s="52"/>
    </row>
    <row r="45" spans="1:27" x14ac:dyDescent="0.25">
      <c r="A45" s="48"/>
      <c r="B45" s="48"/>
      <c r="C45" s="48"/>
      <c r="D45" s="48"/>
      <c r="E45" s="53" t="s">
        <v>66</v>
      </c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0"/>
      <c r="R45" s="50"/>
      <c r="S45" s="50"/>
      <c r="T45" s="50"/>
      <c r="U45" s="50"/>
      <c r="V45" s="51"/>
      <c r="W45" s="51"/>
      <c r="X45" s="51"/>
      <c r="Y45" s="52"/>
      <c r="Z45" s="52"/>
      <c r="AA45" s="52"/>
    </row>
    <row r="46" spans="1:27" x14ac:dyDescent="0.25">
      <c r="A46" s="48"/>
      <c r="B46" s="48"/>
      <c r="C46" s="48"/>
      <c r="D46" s="48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0"/>
      <c r="R46" s="50"/>
      <c r="S46" s="50"/>
      <c r="T46" s="50"/>
      <c r="U46" s="50"/>
      <c r="V46" s="51"/>
      <c r="W46" s="51"/>
      <c r="X46" s="51"/>
      <c r="Y46" s="52"/>
      <c r="Z46" s="52"/>
      <c r="AA46" s="52"/>
    </row>
    <row r="47" spans="1:27" x14ac:dyDescent="0.25">
      <c r="A47" s="48"/>
      <c r="B47" s="48"/>
      <c r="C47" s="48"/>
      <c r="D47" s="48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1"/>
      <c r="W47" s="51"/>
      <c r="X47" s="51"/>
      <c r="Y47" s="52"/>
      <c r="Z47" s="52"/>
      <c r="AA47" s="52"/>
    </row>
    <row r="48" spans="1:27" x14ac:dyDescent="0.25">
      <c r="A48" s="48"/>
      <c r="B48" s="48"/>
      <c r="C48" s="48"/>
      <c r="D48" s="48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1"/>
      <c r="W48" s="51"/>
      <c r="X48" s="51"/>
      <c r="Y48" s="52"/>
      <c r="Z48" s="52"/>
      <c r="AA48" s="52"/>
    </row>
    <row r="49" spans="1:27" x14ac:dyDescent="0.25">
      <c r="A49" s="54" t="s">
        <v>67</v>
      </c>
      <c r="B49" s="54"/>
      <c r="C49" s="54"/>
      <c r="D49" s="54"/>
      <c r="E49" s="49" t="s">
        <v>68</v>
      </c>
      <c r="F49" s="49"/>
      <c r="G49" s="49"/>
      <c r="H49" s="49"/>
      <c r="I49" s="49" t="s">
        <v>69</v>
      </c>
      <c r="J49" s="49"/>
      <c r="K49" s="49"/>
      <c r="L49" s="49"/>
      <c r="M49" s="49" t="s">
        <v>70</v>
      </c>
      <c r="N49" s="49"/>
      <c r="O49" s="49"/>
      <c r="P49" s="49"/>
      <c r="Q49" s="50"/>
      <c r="R49" s="50"/>
      <c r="S49" s="50"/>
      <c r="T49" s="50"/>
      <c r="U49" s="50"/>
      <c r="V49" s="51"/>
      <c r="W49" s="51"/>
      <c r="X49" s="51"/>
      <c r="Y49" s="52"/>
      <c r="Z49" s="52"/>
      <c r="AA49" s="52"/>
    </row>
    <row r="50" ht="36" customHeight="1" spans="1:27" x14ac:dyDescent="0.25">
      <c r="A50" s="55" t="s">
        <v>71</v>
      </c>
      <c r="B50" s="55"/>
      <c r="C50" s="55"/>
      <c r="D50" s="55"/>
      <c r="E50" s="56" t="s">
        <v>72</v>
      </c>
      <c r="F50" s="56"/>
      <c r="G50" s="56"/>
      <c r="H50" s="56"/>
      <c r="I50" s="56" t="s">
        <v>73</v>
      </c>
      <c r="J50" s="56"/>
      <c r="K50" s="56"/>
      <c r="L50" s="56"/>
      <c r="M50" s="57" t="s">
        <v>74</v>
      </c>
      <c r="N50" s="57"/>
      <c r="O50" s="57"/>
      <c r="P50" s="57"/>
      <c r="Q50" s="56">
        <v>1000</v>
      </c>
      <c r="R50" s="56"/>
      <c r="S50" s="56"/>
      <c r="T50" s="56"/>
      <c r="U50" s="56"/>
      <c r="V50" s="58">
        <v>27300</v>
      </c>
      <c r="W50" s="58"/>
      <c r="X50" s="58"/>
      <c r="Y50" s="59">
        <v>28430</v>
      </c>
      <c r="Z50" s="59"/>
      <c r="AA50" s="59"/>
    </row>
    <row r="51" ht="36" customHeight="1" spans="1:27" x14ac:dyDescent="0.25">
      <c r="A51" s="55" t="s">
        <v>71</v>
      </c>
      <c r="B51" s="55"/>
      <c r="C51" s="55"/>
      <c r="D51" s="55"/>
      <c r="E51" s="56" t="s">
        <v>72</v>
      </c>
      <c r="F51" s="56"/>
      <c r="G51" s="56"/>
      <c r="H51" s="56"/>
      <c r="I51" s="56" t="s">
        <v>73</v>
      </c>
      <c r="J51" s="56"/>
      <c r="K51" s="56"/>
      <c r="L51" s="56"/>
      <c r="M51" s="57" t="s">
        <v>74</v>
      </c>
      <c r="N51" s="57"/>
      <c r="O51" s="57"/>
      <c r="P51" s="57"/>
      <c r="Q51" s="56">
        <v>1000</v>
      </c>
      <c r="R51" s="56"/>
      <c r="S51" s="56"/>
      <c r="T51" s="56"/>
      <c r="U51" s="56"/>
      <c r="V51" s="58">
        <v>27300</v>
      </c>
      <c r="W51" s="58"/>
      <c r="X51" s="58"/>
      <c r="Y51" s="59">
        <v>28460</v>
      </c>
      <c r="Z51" s="59"/>
      <c r="AA51" s="59"/>
    </row>
    <row r="52" ht="36" customHeight="1" spans="1:27" x14ac:dyDescent="0.25">
      <c r="A52" s="55" t="s">
        <v>71</v>
      </c>
      <c r="B52" s="55"/>
      <c r="C52" s="55"/>
      <c r="D52" s="55"/>
      <c r="E52" s="56" t="s">
        <v>72</v>
      </c>
      <c r="F52" s="56"/>
      <c r="G52" s="56"/>
      <c r="H52" s="56"/>
      <c r="I52" s="56" t="s">
        <v>73</v>
      </c>
      <c r="J52" s="56"/>
      <c r="K52" s="56"/>
      <c r="L52" s="56"/>
      <c r="M52" s="57" t="s">
        <v>74</v>
      </c>
      <c r="N52" s="57"/>
      <c r="O52" s="57"/>
      <c r="P52" s="57"/>
      <c r="Q52" s="56">
        <v>1000</v>
      </c>
      <c r="R52" s="56"/>
      <c r="S52" s="56"/>
      <c r="T52" s="56"/>
      <c r="U52" s="56"/>
      <c r="V52" s="58">
        <v>13900</v>
      </c>
      <c r="W52" s="58"/>
      <c r="X52" s="58"/>
      <c r="Y52" s="59">
        <v>14250</v>
      </c>
      <c r="Z52" s="59"/>
      <c r="AA52" s="59"/>
    </row>
    <row r="53" ht="36" customHeight="1" spans="1:27" x14ac:dyDescent="0.25">
      <c r="A53" s="55" t="s">
        <v>71</v>
      </c>
      <c r="B53" s="55"/>
      <c r="C53" s="55"/>
      <c r="D53" s="55"/>
      <c r="E53" s="56" t="s">
        <v>72</v>
      </c>
      <c r="F53" s="56"/>
      <c r="G53" s="56"/>
      <c r="H53" s="56"/>
      <c r="I53" s="56" t="s">
        <v>73</v>
      </c>
      <c r="J53" s="56"/>
      <c r="K53" s="56"/>
      <c r="L53" s="56"/>
      <c r="M53" s="57" t="s">
        <v>74</v>
      </c>
      <c r="N53" s="57"/>
      <c r="O53" s="57"/>
      <c r="P53" s="57"/>
      <c r="Q53" s="56">
        <v>1000</v>
      </c>
      <c r="R53" s="56"/>
      <c r="S53" s="56"/>
      <c r="T53" s="56"/>
      <c r="U53" s="56"/>
      <c r="V53" s="58">
        <v>27900</v>
      </c>
      <c r="W53" s="58"/>
      <c r="X53" s="58"/>
      <c r="Y53" s="59">
        <v>28400</v>
      </c>
      <c r="Z53" s="59"/>
      <c r="AA53" s="59"/>
    </row>
    <row r="54" ht="36" customHeight="1" spans="1:27" x14ac:dyDescent="0.25">
      <c r="A54" s="55" t="s">
        <v>71</v>
      </c>
      <c r="B54" s="55"/>
      <c r="C54" s="55"/>
      <c r="D54" s="55"/>
      <c r="E54" s="56" t="s">
        <v>72</v>
      </c>
      <c r="F54" s="56"/>
      <c r="G54" s="56"/>
      <c r="H54" s="56"/>
      <c r="I54" s="56" t="s">
        <v>73</v>
      </c>
      <c r="J54" s="56"/>
      <c r="K54" s="56"/>
      <c r="L54" s="56"/>
      <c r="M54" s="57" t="s">
        <v>74</v>
      </c>
      <c r="N54" s="57"/>
      <c r="O54" s="57"/>
      <c r="P54" s="57"/>
      <c r="Q54" s="56">
        <v>1000</v>
      </c>
      <c r="R54" s="56"/>
      <c r="S54" s="56"/>
      <c r="T54" s="56"/>
      <c r="U54" s="56"/>
      <c r="V54" s="58">
        <v>27100</v>
      </c>
      <c r="W54" s="58"/>
      <c r="X54" s="58"/>
      <c r="Y54" s="59">
        <v>27500</v>
      </c>
      <c r="Z54" s="59"/>
      <c r="AA54" s="59"/>
    </row>
    <row r="55" ht="36" customHeight="1" spans="1:27" x14ac:dyDescent="0.25">
      <c r="A55" s="55" t="s">
        <v>71</v>
      </c>
      <c r="B55" s="55"/>
      <c r="C55" s="55"/>
      <c r="D55" s="55"/>
      <c r="E55" s="56" t="s">
        <v>72</v>
      </c>
      <c r="F55" s="56"/>
      <c r="G55" s="56"/>
      <c r="H55" s="56"/>
      <c r="I55" s="56" t="s">
        <v>73</v>
      </c>
      <c r="J55" s="56"/>
      <c r="K55" s="56"/>
      <c r="L55" s="56"/>
      <c r="M55" s="57" t="s">
        <v>74</v>
      </c>
      <c r="N55" s="57"/>
      <c r="O55" s="57"/>
      <c r="P55" s="57"/>
      <c r="Q55" s="56">
        <v>1000</v>
      </c>
      <c r="R55" s="56"/>
      <c r="S55" s="56"/>
      <c r="T55" s="56"/>
      <c r="U55" s="56"/>
      <c r="V55" s="58">
        <v>27100</v>
      </c>
      <c r="W55" s="58"/>
      <c r="X55" s="58"/>
      <c r="Y55" s="59">
        <v>27500</v>
      </c>
      <c r="Z55" s="59"/>
      <c r="AA55" s="59"/>
    </row>
    <row r="56" ht="36" customHeight="1" spans="1:27" x14ac:dyDescent="0.25">
      <c r="A56" s="55" t="s">
        <v>71</v>
      </c>
      <c r="B56" s="55"/>
      <c r="C56" s="55"/>
      <c r="D56" s="55"/>
      <c r="E56" s="56" t="s">
        <v>72</v>
      </c>
      <c r="F56" s="56"/>
      <c r="G56" s="56"/>
      <c r="H56" s="56"/>
      <c r="I56" s="56" t="s">
        <v>73</v>
      </c>
      <c r="J56" s="56"/>
      <c r="K56" s="56"/>
      <c r="L56" s="56"/>
      <c r="M56" s="57" t="s">
        <v>74</v>
      </c>
      <c r="N56" s="57"/>
      <c r="O56" s="57"/>
      <c r="P56" s="57"/>
      <c r="Q56" s="56">
        <v>1000</v>
      </c>
      <c r="R56" s="56"/>
      <c r="S56" s="56"/>
      <c r="T56" s="56"/>
      <c r="U56" s="56"/>
      <c r="V56" s="58">
        <v>26100</v>
      </c>
      <c r="W56" s="58"/>
      <c r="X56" s="58"/>
      <c r="Y56" s="59">
        <v>26500</v>
      </c>
      <c r="Z56" s="59"/>
      <c r="AA56" s="59"/>
    </row>
    <row r="57" ht="36" customHeight="1" spans="1:27" x14ac:dyDescent="0.25">
      <c r="A57" s="55" t="s">
        <v>71</v>
      </c>
      <c r="B57" s="55"/>
      <c r="C57" s="55"/>
      <c r="D57" s="55"/>
      <c r="E57" s="56" t="s">
        <v>72</v>
      </c>
      <c r="F57" s="56"/>
      <c r="G57" s="56"/>
      <c r="H57" s="56"/>
      <c r="I57" s="56" t="s">
        <v>73</v>
      </c>
      <c r="J57" s="56"/>
      <c r="K57" s="56"/>
      <c r="L57" s="56"/>
      <c r="M57" s="57" t="s">
        <v>74</v>
      </c>
      <c r="N57" s="57"/>
      <c r="O57" s="57"/>
      <c r="P57" s="57"/>
      <c r="Q57" s="56">
        <v>1000</v>
      </c>
      <c r="R57" s="56"/>
      <c r="S57" s="56"/>
      <c r="T57" s="56"/>
      <c r="U57" s="56"/>
      <c r="V57" s="58">
        <v>26100</v>
      </c>
      <c r="W57" s="58"/>
      <c r="X57" s="58"/>
      <c r="Y57" s="59">
        <v>26500</v>
      </c>
      <c r="Z57" s="59"/>
      <c r="AA57" s="59"/>
    </row>
    <row r="58" ht="36" customHeight="1" spans="1:27" x14ac:dyDescent="0.25">
      <c r="A58" s="55" t="s">
        <v>71</v>
      </c>
      <c r="B58" s="55"/>
      <c r="C58" s="55"/>
      <c r="D58" s="55"/>
      <c r="E58" s="56" t="s">
        <v>72</v>
      </c>
      <c r="F58" s="56"/>
      <c r="G58" s="56"/>
      <c r="H58" s="56"/>
      <c r="I58" s="56" t="s">
        <v>73</v>
      </c>
      <c r="J58" s="56"/>
      <c r="K58" s="56"/>
      <c r="L58" s="56"/>
      <c r="M58" s="57" t="s">
        <v>74</v>
      </c>
      <c r="N58" s="57"/>
      <c r="O58" s="57"/>
      <c r="P58" s="57"/>
      <c r="Q58" s="56">
        <v>1000</v>
      </c>
      <c r="R58" s="56"/>
      <c r="S58" s="56"/>
      <c r="T58" s="56"/>
      <c r="U58" s="56"/>
      <c r="V58" s="58">
        <v>26100</v>
      </c>
      <c r="W58" s="58"/>
      <c r="X58" s="58"/>
      <c r="Y58" s="59">
        <v>26500</v>
      </c>
      <c r="Z58" s="59"/>
      <c r="AA58" s="59"/>
    </row>
    <row r="59" ht="36" customHeight="1" spans="1:27" x14ac:dyDescent="0.25">
      <c r="A59" s="55" t="s">
        <v>71</v>
      </c>
      <c r="B59" s="55"/>
      <c r="C59" s="55"/>
      <c r="D59" s="55"/>
      <c r="E59" s="56" t="s">
        <v>72</v>
      </c>
      <c r="F59" s="56"/>
      <c r="G59" s="56"/>
      <c r="H59" s="56"/>
      <c r="I59" s="56" t="s">
        <v>73</v>
      </c>
      <c r="J59" s="56"/>
      <c r="K59" s="56"/>
      <c r="L59" s="56"/>
      <c r="M59" s="57" t="s">
        <v>74</v>
      </c>
      <c r="N59" s="57"/>
      <c r="O59" s="57"/>
      <c r="P59" s="57"/>
      <c r="Q59" s="56">
        <v>1000</v>
      </c>
      <c r="R59" s="56"/>
      <c r="S59" s="56"/>
      <c r="T59" s="56"/>
      <c r="U59" s="56"/>
      <c r="V59" s="58">
        <v>53000</v>
      </c>
      <c r="W59" s="58"/>
      <c r="X59" s="58"/>
      <c r="Y59" s="59">
        <v>53400</v>
      </c>
      <c r="Z59" s="59"/>
      <c r="AA59" s="59"/>
    </row>
    <row r="60" spans="1:27" x14ac:dyDescent="0.25">
      <c r="A60" s="60">
        <f>"Nos. of Kind Packages " &amp; SUM(Q50:Q59) &amp; " BOX"</f>
      </c>
      <c r="B60" s="60"/>
      <c r="C60" s="60"/>
      <c r="D60" s="60"/>
      <c r="E60" s="33" t="s">
        <v>75</v>
      </c>
      <c r="F60" s="33"/>
      <c r="G60" s="33"/>
      <c r="H60" s="33"/>
      <c r="I60" s="61" t="s">
        <v>76</v>
      </c>
      <c r="J60" s="61"/>
      <c r="K60" s="61"/>
      <c r="L60" s="61"/>
      <c r="M60" s="61"/>
      <c r="N60" s="61"/>
      <c r="O60" s="61"/>
      <c r="P60" s="61"/>
      <c r="Q60" s="33">
        <f>SUM(Q50:Q59)</f>
        <v>0</v>
      </c>
      <c r="R60" s="33"/>
      <c r="S60" s="33"/>
      <c r="T60" s="33"/>
      <c r="U60" s="33"/>
      <c r="V60" s="62">
        <f>SUM(V50:V59)</f>
        <v>0</v>
      </c>
      <c r="W60" s="62"/>
      <c r="X60" s="62"/>
      <c r="Y60" s="63">
        <f>SUM(Y50:Y59)</f>
        <v>0</v>
      </c>
      <c r="Z60" s="63"/>
      <c r="AA60" s="63"/>
    </row>
    <row r="61" spans="1:27" x14ac:dyDescent="0.25">
      <c r="A61" s="60"/>
      <c r="B61" s="60"/>
      <c r="C61" s="60"/>
      <c r="D61" s="60"/>
      <c r="E61" s="33"/>
      <c r="F61" s="33"/>
      <c r="G61" s="33"/>
      <c r="H61" s="33"/>
      <c r="I61" s="61"/>
      <c r="J61" s="61"/>
      <c r="K61" s="61"/>
      <c r="L61" s="61"/>
      <c r="M61" s="61"/>
      <c r="N61" s="61"/>
      <c r="O61" s="61"/>
      <c r="P61" s="61"/>
      <c r="Q61" s="33"/>
      <c r="R61" s="33"/>
      <c r="S61" s="33"/>
      <c r="T61" s="33"/>
      <c r="U61" s="33"/>
      <c r="V61" s="62"/>
      <c r="W61" s="62"/>
      <c r="X61" s="62"/>
      <c r="Y61" s="63"/>
      <c r="Z61" s="63"/>
      <c r="AA61" s="63"/>
    </row>
    <row r="62" spans="1:27" x14ac:dyDescent="0.2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9" t="s">
        <v>42</v>
      </c>
      <c r="R62" s="49"/>
      <c r="S62" s="49"/>
      <c r="T62" s="49"/>
      <c r="U62" s="49"/>
      <c r="V62" s="49" t="s">
        <v>77</v>
      </c>
      <c r="W62" s="49"/>
      <c r="X62" s="49"/>
      <c r="Y62" s="64" t="s">
        <v>77</v>
      </c>
      <c r="Z62" s="64"/>
      <c r="AA62" s="64"/>
    </row>
    <row r="63" spans="1:27" x14ac:dyDescent="0.2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65" t="s">
        <v>78</v>
      </c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x14ac:dyDescent="0.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66" t="s">
        <v>79</v>
      </c>
      <c r="R64" s="66"/>
      <c r="S64" s="66"/>
      <c r="T64" s="66"/>
      <c r="U64" s="66"/>
      <c r="V64" s="66"/>
      <c r="W64" s="66"/>
      <c r="X64" s="66"/>
      <c r="Y64" s="66"/>
      <c r="Z64" s="66"/>
      <c r="AA64" s="66"/>
    </row>
    <row r="65" spans="1:27" x14ac:dyDescent="0.2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10"/>
      <c r="AA65" s="67"/>
    </row>
    <row r="66" spans="1:27" x14ac:dyDescent="0.2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10"/>
      <c r="AA66" s="67"/>
    </row>
    <row r="67" spans="1:27" x14ac:dyDescent="0.2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10"/>
      <c r="AA67" s="67"/>
    </row>
    <row r="68" spans="1:27" x14ac:dyDescent="0.25">
      <c r="A68" s="68" t="s">
        <v>80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10"/>
      <c r="AA68" s="67"/>
    </row>
    <row r="69" spans="1:27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9" t="s">
        <v>81</v>
      </c>
      <c r="R69" s="69"/>
      <c r="S69" s="69"/>
      <c r="T69" s="69"/>
      <c r="U69" s="69"/>
      <c r="V69" s="69"/>
      <c r="W69" s="69"/>
      <c r="X69" s="69"/>
      <c r="Y69" s="69"/>
      <c r="Z69" s="69"/>
      <c r="AA69" s="69"/>
    </row>
  </sheetData>
  <mergeCells count="230">
    <mergeCell ref="A1:AA1"/>
    <mergeCell ref="A2:M9"/>
    <mergeCell ref="N2:T2"/>
    <mergeCell ref="U2:AA2"/>
    <mergeCell ref="N3:T3"/>
    <mergeCell ref="U3:AA11"/>
    <mergeCell ref="N4:T4"/>
    <mergeCell ref="N5:T5"/>
    <mergeCell ref="N6:T7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B30:D30"/>
    <mergeCell ref="E30:J30"/>
    <mergeCell ref="K30:P30"/>
    <mergeCell ref="Q30:U30"/>
    <mergeCell ref="V30:X30"/>
    <mergeCell ref="Y30:AA30"/>
    <mergeCell ref="B31:D31"/>
    <mergeCell ref="E31:J31"/>
    <mergeCell ref="K31:P31"/>
    <mergeCell ref="Q31:U31"/>
    <mergeCell ref="V31:X31"/>
    <mergeCell ref="Y31:AA31"/>
    <mergeCell ref="B32:D32"/>
    <mergeCell ref="E32:J32"/>
    <mergeCell ref="K32:P32"/>
    <mergeCell ref="Q32:U32"/>
    <mergeCell ref="V32:X32"/>
    <mergeCell ref="Y32:AA32"/>
    <mergeCell ref="B33:D33"/>
    <mergeCell ref="E33:J33"/>
    <mergeCell ref="K33:P33"/>
    <mergeCell ref="Q33:U33"/>
    <mergeCell ref="V33:X33"/>
    <mergeCell ref="Y33:AA33"/>
    <mergeCell ref="B34:D34"/>
    <mergeCell ref="E34:J34"/>
    <mergeCell ref="K34:P34"/>
    <mergeCell ref="Q34:U34"/>
    <mergeCell ref="V34:X34"/>
    <mergeCell ref="Y34:AA34"/>
    <mergeCell ref="B35:D35"/>
    <mergeCell ref="E35:J35"/>
    <mergeCell ref="K35:P35"/>
    <mergeCell ref="Q35:U35"/>
    <mergeCell ref="V35:X35"/>
    <mergeCell ref="Y35:AA35"/>
    <mergeCell ref="E36:P36"/>
    <mergeCell ref="B37:D37"/>
    <mergeCell ref="E37:J37"/>
    <mergeCell ref="K37:P37"/>
    <mergeCell ref="Q37:U37"/>
    <mergeCell ref="V37:X37"/>
    <mergeCell ref="Y37:AA37"/>
    <mergeCell ref="B38:D38"/>
    <mergeCell ref="E38:J38"/>
    <mergeCell ref="K38:P38"/>
    <mergeCell ref="Q38:U38"/>
    <mergeCell ref="V38:X38"/>
    <mergeCell ref="Y38:AA38"/>
    <mergeCell ref="B39:D39"/>
    <mergeCell ref="E39:J39"/>
    <mergeCell ref="K39:P39"/>
    <mergeCell ref="Q39:U39"/>
    <mergeCell ref="V39:X39"/>
    <mergeCell ref="Y39:AA39"/>
    <mergeCell ref="B40:D40"/>
    <mergeCell ref="E40:J40"/>
    <mergeCell ref="K40:P40"/>
    <mergeCell ref="Q40:U40"/>
    <mergeCell ref="V40:X40"/>
    <mergeCell ref="Y40:AA40"/>
    <mergeCell ref="B41:D41"/>
    <mergeCell ref="E41:J41"/>
    <mergeCell ref="K41:P41"/>
    <mergeCell ref="Q41:U41"/>
    <mergeCell ref="V41:X41"/>
    <mergeCell ref="Y41:AA41"/>
    <mergeCell ref="B42:D42"/>
    <mergeCell ref="E42:J42"/>
    <mergeCell ref="K42:P42"/>
    <mergeCell ref="Q42:U42"/>
    <mergeCell ref="V42:X42"/>
    <mergeCell ref="Y42:AA42"/>
    <mergeCell ref="B43:D43"/>
    <mergeCell ref="E43:J43"/>
    <mergeCell ref="K43:P43"/>
    <mergeCell ref="Q43:U43"/>
    <mergeCell ref="V43:X43"/>
    <mergeCell ref="Y43:AA43"/>
    <mergeCell ref="A44:D48"/>
    <mergeCell ref="E44:P44"/>
    <mergeCell ref="Q44:U49"/>
    <mergeCell ref="V44:X49"/>
    <mergeCell ref="Y44:AA49"/>
    <mergeCell ref="E45:P46"/>
    <mergeCell ref="E47:P48"/>
    <mergeCell ref="A49:D49"/>
    <mergeCell ref="E49:H49"/>
    <mergeCell ref="I49:L49"/>
    <mergeCell ref="M49:P49"/>
    <mergeCell ref="A50:D50"/>
    <mergeCell ref="E50:H50"/>
    <mergeCell ref="I50:L50"/>
    <mergeCell ref="M50:P50"/>
    <mergeCell ref="Q50:U50"/>
    <mergeCell ref="V50:X50"/>
    <mergeCell ref="Y50:AA50"/>
    <mergeCell ref="A51:D51"/>
    <mergeCell ref="E51:H51"/>
    <mergeCell ref="I51:L51"/>
    <mergeCell ref="M51:P51"/>
    <mergeCell ref="Q51:U51"/>
    <mergeCell ref="V51:X51"/>
    <mergeCell ref="Y51:AA51"/>
    <mergeCell ref="A52:D52"/>
    <mergeCell ref="E52:H52"/>
    <mergeCell ref="I52:L52"/>
    <mergeCell ref="M52:P52"/>
    <mergeCell ref="Q52:U52"/>
    <mergeCell ref="V52:X52"/>
    <mergeCell ref="Y52:AA52"/>
    <mergeCell ref="A53:D53"/>
    <mergeCell ref="E53:H53"/>
    <mergeCell ref="I53:L53"/>
    <mergeCell ref="M53:P53"/>
    <mergeCell ref="Q53:U53"/>
    <mergeCell ref="V53:X53"/>
    <mergeCell ref="Y53:AA53"/>
    <mergeCell ref="A54:D54"/>
    <mergeCell ref="E54:H54"/>
    <mergeCell ref="I54:L54"/>
    <mergeCell ref="M54:P54"/>
    <mergeCell ref="Q54:U54"/>
    <mergeCell ref="V54:X54"/>
    <mergeCell ref="Y54:AA54"/>
    <mergeCell ref="A55:D55"/>
    <mergeCell ref="E55:H55"/>
    <mergeCell ref="I55:L55"/>
    <mergeCell ref="M55:P55"/>
    <mergeCell ref="Q55:U55"/>
    <mergeCell ref="V55:X55"/>
    <mergeCell ref="Y55:AA55"/>
    <mergeCell ref="A56:D56"/>
    <mergeCell ref="E56:H56"/>
    <mergeCell ref="I56:L56"/>
    <mergeCell ref="M56:P56"/>
    <mergeCell ref="Q56:U56"/>
    <mergeCell ref="V56:X56"/>
    <mergeCell ref="Y56:AA56"/>
    <mergeCell ref="A57:D57"/>
    <mergeCell ref="E57:H57"/>
    <mergeCell ref="I57:L57"/>
    <mergeCell ref="M57:P57"/>
    <mergeCell ref="Q57:U57"/>
    <mergeCell ref="V57:X57"/>
    <mergeCell ref="Y57:AA57"/>
    <mergeCell ref="A58:D58"/>
    <mergeCell ref="E58:H58"/>
    <mergeCell ref="I58:L58"/>
    <mergeCell ref="M58:P58"/>
    <mergeCell ref="Q58:U58"/>
    <mergeCell ref="V58:X58"/>
    <mergeCell ref="Y58:AA58"/>
    <mergeCell ref="A59:D59"/>
    <mergeCell ref="E59:H59"/>
    <mergeCell ref="I59:L59"/>
    <mergeCell ref="M59:P59"/>
    <mergeCell ref="Q59:U59"/>
    <mergeCell ref="V59:X59"/>
    <mergeCell ref="Y59:AA59"/>
    <mergeCell ref="A60:D61"/>
    <mergeCell ref="E60:H61"/>
    <mergeCell ref="I60:P61"/>
    <mergeCell ref="Q60:U61"/>
    <mergeCell ref="V60:X61"/>
    <mergeCell ref="Y60:AA61"/>
    <mergeCell ref="A62:P62"/>
    <mergeCell ref="Q62:U62"/>
    <mergeCell ref="V62:X62"/>
    <mergeCell ref="Y62:AA62"/>
    <mergeCell ref="A63:P67"/>
    <mergeCell ref="Q63:AA63"/>
    <mergeCell ref="Q64:AA64"/>
    <mergeCell ref="A68:P69"/>
    <mergeCell ref="Q69:AA69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2025-08-17T09:35:50Z</dcterms:created>
  <dcterms:modified xsi:type="dcterms:W3CDTF">2025-08-17T09:35:50Z</dcterms:modified>
</cp:coreProperties>
</file>