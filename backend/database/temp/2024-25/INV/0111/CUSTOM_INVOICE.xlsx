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 fullCalcOnLoad="1"/>
</workbook>
</file>

<file path=xl/sharedStrings.xml><?xml version="1.0" encoding="utf-8"?>
<sst xmlns="http://schemas.openxmlformats.org/spreadsheetml/2006/main" count="132" uniqueCount="101">
  <si>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</si>
  <si>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</si>
  <si>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</si>
  <si>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</si>
  <si>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</si>
  <si>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</si>
  <si>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INV/0111/2024-25</t>
  </si>
  <si>
    <t xml:space="preserve">I. E. Code #: AACFZ6694H
PAN No #: AACFZ6694H
GSTIN No #: 24AACFZ6694H1ZP
STATE CODE : 24</t>
  </si>
  <si>
    <t>Dt. 22/2/2025</t>
  </si>
  <si>
    <t>Buyer's Order no. &amp; Date</t>
  </si>
  <si>
    <t>Exp/0113/2024-25    28/01/2024</t>
  </si>
  <si>
    <t>EMAIL:</t>
  </si>
  <si>
    <t>info@zericceramic.com</t>
  </si>
  <si>
    <t>TAX ID:</t>
  </si>
  <si>
    <t>24AACFZ6694H1ZP</t>
  </si>
  <si>
    <t>PO No: ABC123</t>
  </si>
  <si>
    <t>Consignee:</t>
  </si>
  <si>
    <t>Notify Party # :</t>
  </si>
  <si>
    <t>XYZ</t>
  </si>
  <si>
    <t>ABC</t>
  </si>
  <si>
    <t>Pre-Carriage By</t>
  </si>
  <si>
    <t>Place of Receipt by Pre-Carrier</t>
  </si>
  <si>
    <r>
      <rPr/>
      <t xml:space="preserve">Country of Origin of Goods : </t>
    </r>
    <r>
      <rPr>
        <b/>
      </rPr>
      <t>INDIA</t>
    </r>
  </si>
  <si>
    <t>Country of Final Destination</t>
  </si>
  <si>
    <t/>
  </si>
  <si>
    <t>MORBI</t>
  </si>
  <si>
    <t>ORIGIN : DISTRICT MORBI, STATE GUJARAT</t>
  </si>
  <si>
    <t>USA</t>
  </si>
  <si>
    <t>Vessel Flight No.</t>
  </si>
  <si>
    <t>Port of Loading</t>
  </si>
  <si>
    <t>Terms of Delivery &amp; Payment :-</t>
  </si>
  <si>
    <t>MUNDRA</t>
  </si>
  <si>
    <t>FOB AT MUNDRA PORT</t>
  </si>
  <si>
    <t>Port of Discharge</t>
  </si>
  <si>
    <t>Final Destination</t>
  </si>
  <si>
    <t>PAYMENT : 14776.00 EURO ADVANCE REMAINING AGAINST SCAN OF BL</t>
  </si>
  <si>
    <t>NEW YORK</t>
  </si>
  <si>
    <t>SHIPPING - THROUGH SEA</t>
  </si>
  <si>
    <t>EUR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</si>
  <si>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</si>
  <si>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</si>
  <si>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</si>
  <si>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</si>
  <si>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</si>
  <si>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</si>
  <si>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</si>
  <si>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</si>
  <si>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</si>
  <si>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</si>
  <si>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</si>
  <si>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</si>
  <si>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</si>
  <si>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(EUR)</t>
  </si>
  <si>
    <t>SR NO.</t>
  </si>
  <si>
    <t>HSN CODE</t>
  </si>
  <si>
    <t>Glazed porcelain Floor Tiles</t>
  </si>
  <si>
    <t>LUCKY PANDA</t>
  </si>
  <si>
    <t>600 X 1200</t>
  </si>
  <si>
    <t>ERICA DARK</t>
  </si>
  <si>
    <t>SWISS CARRARA</t>
  </si>
  <si>
    <t>ALMERIA</t>
  </si>
  <si>
    <t>600 X 600</t>
  </si>
  <si>
    <t>ANTY SKY</t>
  </si>
  <si>
    <t>CULCUTTA WHITE</t>
  </si>
  <si>
    <t>NEBULA LIGHT</t>
  </si>
  <si>
    <t>Glazed Ceramic Wall Tiles</t>
  </si>
  <si>
    <t>1621</t>
  </si>
  <si>
    <t>300 X 600</t>
  </si>
  <si>
    <t>1623</t>
  </si>
  <si>
    <t>8529 - DARK</t>
  </si>
  <si>
    <t>1011 - LT</t>
  </si>
  <si>
    <t>1508 - LT</t>
  </si>
  <si>
    <t>5264 - LT R</t>
  </si>
  <si>
    <t>5266 - LT R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</si>
  <si>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</si>
  <si>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</si>
  <si>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</si>
  <si>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281900</t>
  </si>
  <si>
    <t xml:space="preserve">GROSS WT.(KGS): </t>
  </si>
  <si>
    <t>287440</t>
  </si>
  <si>
    <t>Nos. of Kind Packages</t>
  </si>
  <si>
    <t>Total     &gt;&gt;&gt;&gt;&gt;&gt;&gt;&gt;&gt;&gt;</t>
  </si>
  <si>
    <t>TOTAL SQM</t>
  </si>
  <si>
    <t>FOB EUR</t>
  </si>
  <si>
    <t>TOTAL FOB EUR:</t>
  </si>
  <si>
    <t>ONE HUNDRED AND SIXTY THREE THOUSAND EIGHT HUNDRED ONLY.</t>
  </si>
  <si>
    <t>TOTAL FOB EUR</t>
  </si>
  <si>
    <t>EXPORT UNDER GST CIRCULAR NO. 26/2017 Customs DT.01/07/2017</t>
  </si>
  <si>
    <t xml:space="preserve">LETTER OF UNDERTAKING NO.ACKNOWLEDGMENT FOR LUT  APPLICATION REFERENCE NUMBER (ARN) AA240505005678W
DT:14/08/2025</t>
  </si>
  <si>
    <t>SUPPLIER DETAILS :- 1</t>
  </si>
  <si>
    <t>Signature &amp; Date</t>
  </si>
  <si>
    <t>NAME:</t>
  </si>
  <si>
    <t>AGILIS VITRIFIED PVT LTD</t>
  </si>
  <si>
    <t>For, ZERIC CERAMICA</t>
  </si>
  <si>
    <t>GSTIN NO.</t>
  </si>
  <si>
    <t>24AAVCA1497M1ZZ</t>
  </si>
  <si>
    <t>TAX INVOICE NO &amp; DATE:</t>
  </si>
  <si>
    <t>GST/125</t>
  </si>
  <si>
    <t>25.02.2024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</si>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</sst>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4" fillId="0" borderId="7" xfId="0" applyFont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2" fontId="9" fillId="0" borderId="28" xfId="0" applyNumberFormat="1" applyFont="1" applyBorder="1" applyAlignment="1">
      <alignment horizontal="center" vertical="center" wrapText="1"/>
    </xf>
    <xf numFmtId="2" fontId="9" fillId="0" borderId="31" xfId="0" applyNumberFormat="1" applyFont="1" applyBorder="1" applyAlignment="1">
      <alignment horizontal="center" vertical="center" wrapText="1"/>
    </xf>
    <xf numFmtId="0" fontId="0" fillId="0" borderId="26" xfId="0" applyBorder="1"/>
    <xf numFmtId="0" fontId="0" fillId="0" borderId="32" xfId="0" applyBorder="1"/>
    <xf numFmtId="0" fontId="4" fillId="0" borderId="6" xfId="0" applyFont="1" applyBorder="1"/>
    <xf numFmtId="0" fontId="1" fillId="0" borderId="27" xfId="0" applyFont="1" applyBorder="1" applyAlignment="1">
      <alignment horizontal="center"/>
    </xf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2" fontId="1" fillId="0" borderId="27" xfId="0" applyNumberFormat="1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3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0" borderId="6" xfId="0" applyFont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4" fillId="0" borderId="27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63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9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1" t="s">
        <v>10</v>
      </c>
      <c r="P7" s="11"/>
      <c r="Q7" s="11"/>
      <c r="R7" s="11"/>
      <c r="S7" s="11"/>
      <c r="T7" s="11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P8" s="11"/>
      <c r="Q8" s="11"/>
      <c r="R8" s="11"/>
      <c r="S8" s="11"/>
      <c r="T8" s="11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  <c r="T9" s="13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  <c r="T10" s="13"/>
      <c r="U10" s="8"/>
      <c r="V10" s="8"/>
      <c r="W10" s="8"/>
      <c r="X10" s="8"/>
      <c r="Y10" s="8"/>
      <c r="Z10" s="8"/>
      <c r="AA10" s="8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/>
      <c r="T11" s="13"/>
      <c r="U11" s="8"/>
      <c r="V11" s="8"/>
      <c r="W11" s="8"/>
      <c r="X11" s="8"/>
      <c r="Y11" s="8"/>
      <c r="Z11" s="8"/>
      <c r="AA11" s="8"/>
    </row>
    <row r="12" spans="1:27" x14ac:dyDescent="0.25">
      <c r="A12" s="16" t="s">
        <v>13</v>
      </c>
      <c r="B12" s="16"/>
      <c r="C12" s="17" t="s">
        <v>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8" t="s">
        <v>16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 t="s">
        <v>17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20" t="s">
        <v>18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19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2" t="s">
        <v>20</v>
      </c>
      <c r="B20" s="22"/>
      <c r="C20" s="22"/>
      <c r="D20" s="22"/>
      <c r="E20" s="22"/>
      <c r="F20" s="22"/>
      <c r="G20" s="22"/>
      <c r="H20" s="23" t="s">
        <v>21</v>
      </c>
      <c r="I20" s="23"/>
      <c r="J20" s="23"/>
      <c r="K20" s="23"/>
      <c r="L20" s="23"/>
      <c r="M20" s="23"/>
      <c r="N20" s="23"/>
      <c r="O20" s="23" t="s">
        <v>22</v>
      </c>
      <c r="P20" s="23"/>
      <c r="Q20" s="23"/>
      <c r="R20" s="23"/>
      <c r="S20" s="23"/>
      <c r="T20" s="23"/>
      <c r="U20" s="23"/>
      <c r="V20" s="23"/>
      <c r="W20" s="24" t="s">
        <v>23</v>
      </c>
      <c r="X20" s="24"/>
      <c r="Y20" s="24"/>
      <c r="Z20" s="24"/>
      <c r="AA20" s="24"/>
    </row>
    <row r="21" spans="1:27" x14ac:dyDescent="0.25">
      <c r="A21" s="25" t="s">
        <v>24</v>
      </c>
      <c r="B21" s="25"/>
      <c r="C21" s="25"/>
      <c r="D21" s="25"/>
      <c r="E21" s="25"/>
      <c r="F21" s="25"/>
      <c r="G21" s="25"/>
      <c r="H21" s="26" t="s">
        <v>25</v>
      </c>
      <c r="I21" s="26"/>
      <c r="J21" s="26"/>
      <c r="K21" s="26"/>
      <c r="L21" s="26"/>
      <c r="M21" s="26"/>
      <c r="N21" s="26"/>
      <c r="O21" s="27" t="s">
        <v>26</v>
      </c>
      <c r="P21" s="27"/>
      <c r="Q21" s="27"/>
      <c r="R21" s="27"/>
      <c r="S21" s="27"/>
      <c r="T21" s="27"/>
      <c r="U21" s="27"/>
      <c r="V21" s="27"/>
      <c r="W21" s="28" t="s">
        <v>27</v>
      </c>
      <c r="X21" s="28"/>
      <c r="Y21" s="28"/>
      <c r="Z21" s="28"/>
      <c r="AA21" s="28"/>
    </row>
    <row r="22" spans="1:27" x14ac:dyDescent="0.25">
      <c r="A22" s="22" t="s">
        <v>28</v>
      </c>
      <c r="B22" s="22"/>
      <c r="C22" s="22"/>
      <c r="D22" s="22"/>
      <c r="E22" s="22"/>
      <c r="F22" s="22"/>
      <c r="G22" s="22"/>
      <c r="H22" s="23" t="s">
        <v>29</v>
      </c>
      <c r="I22" s="23"/>
      <c r="J22" s="23"/>
      <c r="K22" s="23"/>
      <c r="L22" s="23"/>
      <c r="M22" s="23"/>
      <c r="N22" s="23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5" t="s">
        <v>24</v>
      </c>
      <c r="B23" s="25"/>
      <c r="C23" s="25"/>
      <c r="D23" s="25"/>
      <c r="E23" s="25"/>
      <c r="F23" s="25"/>
      <c r="G23" s="25"/>
      <c r="H23" s="26" t="s">
        <v>31</v>
      </c>
      <c r="I23" s="26"/>
      <c r="J23" s="26"/>
      <c r="K23" s="26"/>
      <c r="L23" s="26"/>
      <c r="M23" s="26"/>
      <c r="N23" s="26"/>
      <c r="O23" s="29" t="s">
        <v>32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2" t="s">
        <v>33</v>
      </c>
      <c r="B24" s="22"/>
      <c r="C24" s="22"/>
      <c r="D24" s="22"/>
      <c r="E24" s="22"/>
      <c r="F24" s="22"/>
      <c r="G24" s="22"/>
      <c r="H24" s="23" t="s">
        <v>34</v>
      </c>
      <c r="I24" s="23"/>
      <c r="J24" s="23"/>
      <c r="K24" s="23"/>
      <c r="L24" s="23"/>
      <c r="M24" s="23"/>
      <c r="N24" s="23"/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31" t="s">
        <v>36</v>
      </c>
      <c r="B25" s="31"/>
      <c r="C25" s="31"/>
      <c r="D25" s="31"/>
      <c r="E25" s="31"/>
      <c r="F25" s="31"/>
      <c r="G25" s="31"/>
      <c r="H25" s="32" t="s">
        <v>27</v>
      </c>
      <c r="I25" s="32"/>
      <c r="J25" s="32"/>
      <c r="K25" s="32"/>
      <c r="L25" s="32"/>
      <c r="M25" s="32"/>
      <c r="N25" s="3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31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  <c r="M26" s="32"/>
      <c r="N26" s="32"/>
      <c r="O26" s="33" t="s">
        <v>37</v>
      </c>
      <c r="P26" s="33"/>
      <c r="Q26" s="33"/>
      <c r="R26" s="33"/>
      <c r="S26" s="33"/>
      <c r="T26" s="33"/>
      <c r="U26" s="33"/>
      <c r="V26" s="34"/>
      <c r="W26" s="35" t="s">
        <v>38</v>
      </c>
      <c r="X26" s="35"/>
      <c r="Y26" s="35"/>
      <c r="Z26" s="36">
        <v>88.95</v>
      </c>
      <c r="AA26" s="36"/>
    </row>
    <row r="27" spans="1:27" x14ac:dyDescent="0.25">
      <c r="A27" s="37" t="s">
        <v>39</v>
      </c>
      <c r="B27" s="37"/>
      <c r="C27" s="37"/>
      <c r="D27" s="37"/>
      <c r="E27" s="38" t="s">
        <v>40</v>
      </c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9" t="s">
        <v>41</v>
      </c>
      <c r="S27" s="39" t="s">
        <v>42</v>
      </c>
      <c r="T27" s="39"/>
      <c r="U27" s="39" t="s">
        <v>43</v>
      </c>
      <c r="V27" s="39"/>
      <c r="W27" s="39" t="s">
        <v>44</v>
      </c>
      <c r="X27" s="39"/>
      <c r="Y27" s="39" t="s">
        <v>45</v>
      </c>
      <c r="Z27" s="39" t="s">
        <v>46</v>
      </c>
      <c r="AA27" s="39" t="s">
        <v>47</v>
      </c>
    </row>
    <row r="28" ht="24" customHeight="1" spans="1:27" x14ac:dyDescent="0.25">
      <c r="A28" s="40" t="s">
        <v>48</v>
      </c>
      <c r="B28" s="40"/>
      <c r="C28" s="40"/>
      <c r="D28" s="40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41" t="s">
        <v>49</v>
      </c>
      <c r="S28" s="42" t="s">
        <v>50</v>
      </c>
      <c r="T28" s="42"/>
      <c r="U28" s="42" t="s">
        <v>50</v>
      </c>
      <c r="V28" s="42"/>
      <c r="W28" s="41" t="s">
        <v>50</v>
      </c>
      <c r="X28" s="41"/>
      <c r="Y28" s="41" t="s">
        <v>51</v>
      </c>
      <c r="Z28" s="41" t="s">
        <v>51</v>
      </c>
      <c r="AA28" s="41" t="s">
        <v>52</v>
      </c>
    </row>
    <row r="29" ht="46" customHeight="1" spans="1:27" x14ac:dyDescent="0.25">
      <c r="A29" s="43" t="s">
        <v>53</v>
      </c>
      <c r="B29" s="44" t="s">
        <v>54</v>
      </c>
      <c r="C29" s="44"/>
      <c r="D29" s="44"/>
      <c r="E29" s="45" t="s">
        <v>55</v>
      </c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6"/>
      <c r="S29" s="47"/>
      <c r="T29" s="48"/>
      <c r="U29" s="47"/>
      <c r="V29" s="48"/>
      <c r="W29" s="47"/>
      <c r="X29" s="48"/>
      <c r="Y29" s="46"/>
      <c r="Z29" s="46"/>
      <c r="AA29" s="49"/>
    </row>
    <row r="30" spans="1:27" x14ac:dyDescent="0.25">
      <c r="A30" s="50">
        <v>1</v>
      </c>
      <c r="B30" s="51">
        <v>69072100</v>
      </c>
      <c r="C30" s="51"/>
      <c r="D30" s="51"/>
      <c r="E30" s="52" t="s">
        <v>56</v>
      </c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3" t="s">
        <v>57</v>
      </c>
      <c r="S30" s="52">
        <v>1000</v>
      </c>
      <c r="T30" s="52"/>
      <c r="U30" s="52" t="s">
        <v>50</v>
      </c>
      <c r="V30" s="52"/>
      <c r="W30" s="52">
        <v>1.44</v>
      </c>
      <c r="X30" s="52"/>
      <c r="Y30" s="53">
        <f>S30*W30</f>
        <v>0</v>
      </c>
      <c r="Z30" s="54">
        <v>10</v>
      </c>
      <c r="AA30" s="55">
        <f>ROUND(Y30*Z30, 2)</f>
        <v>0</v>
      </c>
    </row>
    <row r="31" spans="1:27" x14ac:dyDescent="0.25">
      <c r="A31" s="50">
        <v>2</v>
      </c>
      <c r="B31" s="51">
        <v>69072100</v>
      </c>
      <c r="C31" s="51"/>
      <c r="D31" s="51"/>
      <c r="E31" s="52" t="s">
        <v>58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3" t="s">
        <v>57</v>
      </c>
      <c r="S31" s="52">
        <v>1000</v>
      </c>
      <c r="T31" s="52"/>
      <c r="U31" s="52" t="s">
        <v>50</v>
      </c>
      <c r="V31" s="52"/>
      <c r="W31" s="52">
        <v>1.44</v>
      </c>
      <c r="X31" s="52"/>
      <c r="Y31" s="53">
        <f>S31*W31</f>
        <v>0</v>
      </c>
      <c r="Z31" s="54">
        <v>10</v>
      </c>
      <c r="AA31" s="55">
        <f>ROUND(Y31*Z31, 2)</f>
        <v>0</v>
      </c>
    </row>
    <row r="32" spans="1:27" x14ac:dyDescent="0.25">
      <c r="A32" s="50">
        <v>3</v>
      </c>
      <c r="B32" s="51">
        <v>69072100</v>
      </c>
      <c r="C32" s="51"/>
      <c r="D32" s="51"/>
      <c r="E32" s="52" t="s">
        <v>59</v>
      </c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3" t="s">
        <v>57</v>
      </c>
      <c r="S32" s="52">
        <v>1000</v>
      </c>
      <c r="T32" s="52"/>
      <c r="U32" s="52" t="s">
        <v>50</v>
      </c>
      <c r="V32" s="52"/>
      <c r="W32" s="52">
        <v>1.44</v>
      </c>
      <c r="X32" s="52"/>
      <c r="Y32" s="53">
        <f>S32*W32</f>
        <v>0</v>
      </c>
      <c r="Z32" s="54">
        <v>10</v>
      </c>
      <c r="AA32" s="55">
        <f>ROUND(Y32*Z32, 2)</f>
        <v>0</v>
      </c>
    </row>
    <row r="33" spans="1:27" x14ac:dyDescent="0.25">
      <c r="A33" s="50">
        <v>4</v>
      </c>
      <c r="B33" s="51">
        <v>69072100</v>
      </c>
      <c r="C33" s="51"/>
      <c r="D33" s="51"/>
      <c r="E33" s="52" t="s">
        <v>60</v>
      </c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3" t="s">
        <v>61</v>
      </c>
      <c r="S33" s="52">
        <v>1000</v>
      </c>
      <c r="T33" s="52"/>
      <c r="U33" s="52" t="s">
        <v>50</v>
      </c>
      <c r="V33" s="52"/>
      <c r="W33" s="52">
        <v>1.44</v>
      </c>
      <c r="X33" s="52"/>
      <c r="Y33" s="53">
        <f>S33*W33</f>
        <v>0</v>
      </c>
      <c r="Z33" s="54">
        <v>10</v>
      </c>
      <c r="AA33" s="55">
        <f>ROUND(Y33*Z33, 2)</f>
        <v>0</v>
      </c>
    </row>
    <row r="34" spans="1:27" x14ac:dyDescent="0.25">
      <c r="A34" s="50">
        <v>5</v>
      </c>
      <c r="B34" s="51">
        <v>69072100</v>
      </c>
      <c r="C34" s="51"/>
      <c r="D34" s="51"/>
      <c r="E34" s="52" t="s">
        <v>62</v>
      </c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3" t="s">
        <v>61</v>
      </c>
      <c r="S34" s="52">
        <v>1000</v>
      </c>
      <c r="T34" s="52"/>
      <c r="U34" s="52" t="s">
        <v>50</v>
      </c>
      <c r="V34" s="52"/>
      <c r="W34" s="52">
        <v>1.44</v>
      </c>
      <c r="X34" s="52"/>
      <c r="Y34" s="53">
        <f>S34*W34</f>
        <v>0</v>
      </c>
      <c r="Z34" s="54">
        <v>10</v>
      </c>
      <c r="AA34" s="55">
        <f>ROUND(Y34*Z34, 2)</f>
        <v>0</v>
      </c>
    </row>
    <row r="35" spans="1:27" x14ac:dyDescent="0.25">
      <c r="A35" s="50">
        <v>6</v>
      </c>
      <c r="B35" s="51">
        <v>69072100</v>
      </c>
      <c r="C35" s="51"/>
      <c r="D35" s="51"/>
      <c r="E35" s="52" t="s">
        <v>63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3" t="s">
        <v>61</v>
      </c>
      <c r="S35" s="52">
        <v>1000</v>
      </c>
      <c r="T35" s="52"/>
      <c r="U35" s="52" t="s">
        <v>50</v>
      </c>
      <c r="V35" s="52"/>
      <c r="W35" s="52">
        <v>1.44</v>
      </c>
      <c r="X35" s="52"/>
      <c r="Y35" s="53">
        <f>S35*W35</f>
        <v>0</v>
      </c>
      <c r="Z35" s="54">
        <v>10</v>
      </c>
      <c r="AA35" s="55">
        <f>ROUND(Y35*Z35, 2)</f>
        <v>0</v>
      </c>
    </row>
    <row r="36" spans="1:27" x14ac:dyDescent="0.25">
      <c r="A36" s="50">
        <v>7</v>
      </c>
      <c r="B36" s="51">
        <v>69072100</v>
      </c>
      <c r="C36" s="51"/>
      <c r="D36" s="51"/>
      <c r="E36" s="52" t="s">
        <v>64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3" t="s">
        <v>61</v>
      </c>
      <c r="S36" s="52">
        <v>1000</v>
      </c>
      <c r="T36" s="52"/>
      <c r="U36" s="52" t="s">
        <v>50</v>
      </c>
      <c r="V36" s="52"/>
      <c r="W36" s="52">
        <v>1.44</v>
      </c>
      <c r="X36" s="52"/>
      <c r="Y36" s="53">
        <f>S36*W36</f>
        <v>0</v>
      </c>
      <c r="Z36" s="54">
        <v>10</v>
      </c>
      <c r="AA36" s="55">
        <f>ROUND(Y36*Z36, 2)</f>
        <v>0</v>
      </c>
    </row>
    <row r="37" ht="46" customHeight="1" spans="1:27" x14ac:dyDescent="0.25">
      <c r="A37" s="56"/>
      <c r="B37" s="47"/>
      <c r="C37" s="57"/>
      <c r="D37" s="48"/>
      <c r="E37" s="45" t="s">
        <v>65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6"/>
      <c r="S37" s="47"/>
      <c r="T37" s="48"/>
      <c r="U37" s="47"/>
      <c r="V37" s="48"/>
      <c r="W37" s="47"/>
      <c r="X37" s="48"/>
      <c r="Y37" s="46"/>
      <c r="Z37" s="46"/>
      <c r="AA37" s="49"/>
    </row>
    <row r="38" spans="1:27" x14ac:dyDescent="0.25">
      <c r="A38" s="50">
        <v>8</v>
      </c>
      <c r="B38" s="51">
        <v>69072300</v>
      </c>
      <c r="C38" s="51"/>
      <c r="D38" s="51"/>
      <c r="E38" s="52" t="s">
        <v>66</v>
      </c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3" t="s">
        <v>67</v>
      </c>
      <c r="S38" s="52">
        <v>1000</v>
      </c>
      <c r="T38" s="52"/>
      <c r="U38" s="52" t="s">
        <v>50</v>
      </c>
      <c r="V38" s="52"/>
      <c r="W38" s="52">
        <v>0.9</v>
      </c>
      <c r="X38" s="52"/>
      <c r="Y38" s="53">
        <f>S38*W38</f>
        <v>0</v>
      </c>
      <c r="Z38" s="54">
        <v>10</v>
      </c>
      <c r="AA38" s="55">
        <f>ROUND(Y38*Z38, 2)</f>
        <v>0</v>
      </c>
    </row>
    <row r="39" spans="1:27" x14ac:dyDescent="0.25">
      <c r="A39" s="50">
        <v>9</v>
      </c>
      <c r="B39" s="51">
        <v>69072300</v>
      </c>
      <c r="C39" s="51"/>
      <c r="D39" s="51"/>
      <c r="E39" s="52" t="s">
        <v>68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3" t="s">
        <v>67</v>
      </c>
      <c r="S39" s="52">
        <v>1000</v>
      </c>
      <c r="T39" s="52"/>
      <c r="U39" s="52" t="s">
        <v>50</v>
      </c>
      <c r="V39" s="52"/>
      <c r="W39" s="52">
        <v>0.9</v>
      </c>
      <c r="X39" s="52"/>
      <c r="Y39" s="53">
        <f>S39*W39</f>
        <v>0</v>
      </c>
      <c r="Z39" s="54">
        <v>10</v>
      </c>
      <c r="AA39" s="55">
        <f>ROUND(Y39*Z39, 2)</f>
        <v>0</v>
      </c>
    </row>
    <row r="40" spans="1:27" x14ac:dyDescent="0.25">
      <c r="A40" s="50">
        <v>10</v>
      </c>
      <c r="B40" s="51">
        <v>69072300</v>
      </c>
      <c r="C40" s="51"/>
      <c r="D40" s="51"/>
      <c r="E40" s="52" t="s">
        <v>69</v>
      </c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3" t="s">
        <v>67</v>
      </c>
      <c r="S40" s="52">
        <v>1000</v>
      </c>
      <c r="T40" s="52"/>
      <c r="U40" s="52" t="s">
        <v>50</v>
      </c>
      <c r="V40" s="52"/>
      <c r="W40" s="52">
        <v>0.9</v>
      </c>
      <c r="X40" s="52"/>
      <c r="Y40" s="53">
        <f>S40*W40</f>
        <v>0</v>
      </c>
      <c r="Z40" s="54">
        <v>10</v>
      </c>
      <c r="AA40" s="55">
        <f>ROUND(Y40*Z40, 2)</f>
        <v>0</v>
      </c>
    </row>
    <row r="41" spans="1:27" x14ac:dyDescent="0.25">
      <c r="A41" s="50">
        <v>11</v>
      </c>
      <c r="B41" s="51">
        <v>69072300</v>
      </c>
      <c r="C41" s="51"/>
      <c r="D41" s="51"/>
      <c r="E41" s="52" t="s">
        <v>70</v>
      </c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3" t="s">
        <v>67</v>
      </c>
      <c r="S41" s="52">
        <v>1000</v>
      </c>
      <c r="T41" s="52"/>
      <c r="U41" s="52" t="s">
        <v>50</v>
      </c>
      <c r="V41" s="52"/>
      <c r="W41" s="52">
        <v>0.9</v>
      </c>
      <c r="X41" s="52"/>
      <c r="Y41" s="53">
        <f>S41*W41</f>
        <v>0</v>
      </c>
      <c r="Z41" s="54">
        <v>10</v>
      </c>
      <c r="AA41" s="55">
        <f>ROUND(Y41*Z41, 2)</f>
        <v>0</v>
      </c>
    </row>
    <row r="42" spans="1:27" x14ac:dyDescent="0.25">
      <c r="A42" s="50">
        <v>12</v>
      </c>
      <c r="B42" s="51">
        <v>69072300</v>
      </c>
      <c r="C42" s="51"/>
      <c r="D42" s="51"/>
      <c r="E42" s="52" t="s">
        <v>71</v>
      </c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3" t="s">
        <v>67</v>
      </c>
      <c r="S42" s="52">
        <v>1000</v>
      </c>
      <c r="T42" s="52"/>
      <c r="U42" s="52" t="s">
        <v>50</v>
      </c>
      <c r="V42" s="52"/>
      <c r="W42" s="52">
        <v>0.9</v>
      </c>
      <c r="X42" s="52"/>
      <c r="Y42" s="53">
        <f>S42*W42</f>
        <v>0</v>
      </c>
      <c r="Z42" s="54">
        <v>10</v>
      </c>
      <c r="AA42" s="55">
        <f>ROUND(Y42*Z42, 2)</f>
        <v>0</v>
      </c>
    </row>
    <row r="43" spans="1:27" x14ac:dyDescent="0.25">
      <c r="A43" s="50">
        <v>13</v>
      </c>
      <c r="B43" s="51">
        <v>69072300</v>
      </c>
      <c r="C43" s="51"/>
      <c r="D43" s="51"/>
      <c r="E43" s="52" t="s">
        <v>72</v>
      </c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3" t="s">
        <v>67</v>
      </c>
      <c r="S43" s="52">
        <v>1000</v>
      </c>
      <c r="T43" s="52"/>
      <c r="U43" s="52" t="s">
        <v>50</v>
      </c>
      <c r="V43" s="52"/>
      <c r="W43" s="52">
        <v>0.9</v>
      </c>
      <c r="X43" s="52"/>
      <c r="Y43" s="53">
        <f>S43*W43</f>
        <v>0</v>
      </c>
      <c r="Z43" s="54">
        <v>10</v>
      </c>
      <c r="AA43" s="55">
        <f>ROUND(Y43*Z43, 2)</f>
        <v>0</v>
      </c>
    </row>
    <row r="44" spans="1:27" x14ac:dyDescent="0.25">
      <c r="A44" s="50">
        <v>14</v>
      </c>
      <c r="B44" s="51">
        <v>69072300</v>
      </c>
      <c r="C44" s="51"/>
      <c r="D44" s="51"/>
      <c r="E44" s="52" t="s">
        <v>73</v>
      </c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3" t="s">
        <v>67</v>
      </c>
      <c r="S44" s="52">
        <v>1000</v>
      </c>
      <c r="T44" s="52"/>
      <c r="U44" s="52" t="s">
        <v>50</v>
      </c>
      <c r="V44" s="52"/>
      <c r="W44" s="52">
        <v>0.9</v>
      </c>
      <c r="X44" s="52"/>
      <c r="Y44" s="53">
        <f>S44*W44</f>
        <v>0</v>
      </c>
      <c r="Z44" s="54">
        <v>10</v>
      </c>
      <c r="AA44" s="55">
        <f>ROUND(Y44*Z44, 2)</f>
        <v>0</v>
      </c>
    </row>
    <row r="45" spans="1:27" x14ac:dyDescent="0.25">
      <c r="A45" s="58"/>
      <c r="B45" s="58"/>
      <c r="C45" s="58"/>
      <c r="D45" s="58"/>
      <c r="E45" s="4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48"/>
      <c r="R45" s="46"/>
      <c r="S45" s="47"/>
      <c r="T45" s="48"/>
      <c r="U45" s="47"/>
      <c r="V45" s="48"/>
      <c r="W45" s="47"/>
      <c r="X45" s="48"/>
      <c r="Y45" s="46"/>
      <c r="Z45" s="46"/>
      <c r="AA45" s="49"/>
    </row>
    <row r="46" spans="1:27" x14ac:dyDescent="0.25">
      <c r="A46" s="58"/>
      <c r="B46" s="58"/>
      <c r="C46" s="58"/>
      <c r="D46" s="58"/>
      <c r="E46" s="4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48"/>
      <c r="R46" s="46"/>
      <c r="S46" s="47"/>
      <c r="T46" s="48"/>
      <c r="U46" s="47"/>
      <c r="V46" s="48"/>
      <c r="W46" s="47"/>
      <c r="X46" s="48"/>
      <c r="Y46" s="46"/>
      <c r="Z46" s="46"/>
      <c r="AA46" s="49"/>
    </row>
    <row r="47" spans="1:27" x14ac:dyDescent="0.25">
      <c r="A47" s="58"/>
      <c r="B47" s="58"/>
      <c r="C47" s="58"/>
      <c r="D47" s="58"/>
      <c r="E47" s="4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48"/>
      <c r="R47" s="46"/>
      <c r="S47" s="47"/>
      <c r="T47" s="48"/>
      <c r="U47" s="47"/>
      <c r="V47" s="48"/>
      <c r="W47" s="47"/>
      <c r="X47" s="48"/>
      <c r="Y47" s="46"/>
      <c r="Z47" s="46"/>
      <c r="AA47" s="49"/>
    </row>
    <row r="48" spans="1:27" x14ac:dyDescent="0.25">
      <c r="A48" s="58"/>
      <c r="B48" s="58"/>
      <c r="C48" s="58"/>
      <c r="D48" s="58"/>
      <c r="E48" s="59" t="s">
        <v>74</v>
      </c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60"/>
      <c r="S48" s="60"/>
      <c r="T48" s="60"/>
      <c r="U48" s="60"/>
      <c r="V48" s="60"/>
      <c r="W48" s="60"/>
      <c r="X48" s="60"/>
      <c r="Y48" s="60"/>
      <c r="Z48" s="60"/>
      <c r="AA48" s="61"/>
    </row>
    <row r="49" spans="1:27" x14ac:dyDescent="0.25">
      <c r="A49" s="58"/>
      <c r="B49" s="58"/>
      <c r="C49" s="58"/>
      <c r="D49" s="58"/>
      <c r="E49" s="62" t="s">
        <v>75</v>
      </c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0"/>
      <c r="S49" s="60"/>
      <c r="T49" s="60"/>
      <c r="U49" s="60"/>
      <c r="V49" s="60"/>
      <c r="W49" s="60"/>
      <c r="X49" s="60"/>
      <c r="Y49" s="60"/>
      <c r="Z49" s="60"/>
      <c r="AA49" s="61"/>
    </row>
    <row r="50" spans="1:27" x14ac:dyDescent="0.25">
      <c r="A50" s="58"/>
      <c r="B50" s="58"/>
      <c r="C50" s="58"/>
      <c r="D50" s="58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0"/>
      <c r="S50" s="60"/>
      <c r="T50" s="60"/>
      <c r="U50" s="60"/>
      <c r="V50" s="60"/>
      <c r="W50" s="60"/>
      <c r="X50" s="60"/>
      <c r="Y50" s="60"/>
      <c r="Z50" s="60"/>
      <c r="AA50" s="61"/>
    </row>
    <row r="51" spans="1:27" x14ac:dyDescent="0.25">
      <c r="A51" s="58"/>
      <c r="B51" s="58"/>
      <c r="C51" s="58"/>
      <c r="D51" s="58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1"/>
    </row>
    <row r="52" spans="1:27" x14ac:dyDescent="0.25">
      <c r="A52" s="58"/>
      <c r="B52" s="58"/>
      <c r="C52" s="58"/>
      <c r="D52" s="58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1"/>
    </row>
    <row r="53" spans="1:27" x14ac:dyDescent="0.25">
      <c r="A53" s="63" t="s">
        <v>76</v>
      </c>
      <c r="B53" s="63"/>
      <c r="C53" s="63"/>
      <c r="D53" s="63"/>
      <c r="E53" s="63"/>
      <c r="F53" s="64" t="s">
        <v>77</v>
      </c>
      <c r="G53" s="64"/>
      <c r="H53" s="64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1"/>
    </row>
    <row r="54" spans="1:27" x14ac:dyDescent="0.25">
      <c r="A54" s="63" t="s">
        <v>78</v>
      </c>
      <c r="B54" s="63"/>
      <c r="C54" s="63"/>
      <c r="D54" s="63"/>
      <c r="E54" s="63"/>
      <c r="F54" s="64" t="s">
        <v>79</v>
      </c>
      <c r="G54" s="64"/>
      <c r="H54" s="64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1"/>
    </row>
    <row r="55" spans="1:27" x14ac:dyDescent="0.25">
      <c r="A55" s="65" t="s">
        <v>80</v>
      </c>
      <c r="B55" s="65"/>
      <c r="C55" s="65"/>
      <c r="D55" s="65"/>
      <c r="E55" s="65"/>
      <c r="F55" s="65"/>
      <c r="G55" s="65"/>
      <c r="H55" s="44" t="s">
        <v>81</v>
      </c>
      <c r="I55" s="44"/>
      <c r="J55" s="44"/>
      <c r="K55" s="44"/>
      <c r="L55" s="44"/>
      <c r="M55" s="44"/>
      <c r="N55" s="44"/>
      <c r="O55" s="44"/>
      <c r="P55" s="44"/>
      <c r="Q55" s="44"/>
      <c r="R55" s="66"/>
      <c r="S55" s="4">
        <f>SUM(S30:S54)</f>
        <v>0</v>
      </c>
      <c r="T55" s="4"/>
      <c r="U55" s="67"/>
      <c r="V55" s="68"/>
      <c r="W55" s="4" t="s">
        <v>82</v>
      </c>
      <c r="X55" s="4"/>
      <c r="Y55" s="4"/>
      <c r="Z55" s="51" t="s">
        <v>83</v>
      </c>
      <c r="AA55" s="69">
        <f>ROUND(SUM(AA28:AA54), 2)</f>
        <v>0</v>
      </c>
    </row>
    <row r="56" spans="1:27" x14ac:dyDescent="0.25">
      <c r="A56" s="70" t="str">
        <f>INT(SUM(S30:S54)) &amp; " BOX"</f>
        <v>0BOX</v>
      </c>
      <c r="B56" s="70"/>
      <c r="C56" s="70"/>
      <c r="D56" s="70"/>
      <c r="E56" s="70"/>
      <c r="F56" s="70"/>
      <c r="G56" s="70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71"/>
      <c r="S56" s="27" t="s">
        <v>50</v>
      </c>
      <c r="T56" s="27"/>
      <c r="U56" s="72"/>
      <c r="V56" s="73"/>
      <c r="W56" s="27">
        <f>SUM(Y30:Y54)</f>
        <v>0</v>
      </c>
      <c r="X56" s="27"/>
      <c r="Y56" s="27"/>
      <c r="Z56" s="51"/>
      <c r="AA56" s="69"/>
    </row>
    <row r="57" spans="1:27" x14ac:dyDescent="0.25">
      <c r="A57" s="74" t="s">
        <v>84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5"/>
      <c r="S57" s="47"/>
      <c r="T57" s="57"/>
      <c r="U57" s="57"/>
      <c r="V57" s="57"/>
      <c r="W57" s="57"/>
      <c r="X57" s="57"/>
      <c r="Y57" s="48"/>
      <c r="Z57" s="75"/>
      <c r="AA57" s="76"/>
    </row>
    <row r="58" spans="1:27" x14ac:dyDescent="0.25">
      <c r="A58" s="77" t="s">
        <v>85</v>
      </c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46"/>
      <c r="S58" s="47"/>
      <c r="T58" s="57"/>
      <c r="U58" s="57"/>
      <c r="V58" s="57"/>
      <c r="W58" s="57"/>
      <c r="X58" s="57"/>
      <c r="Y58" s="48"/>
      <c r="Z58" s="75"/>
      <c r="AA58" s="76"/>
    </row>
    <row r="59" spans="1:27" x14ac:dyDescent="0.2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46"/>
      <c r="S59" s="78" t="s">
        <v>86</v>
      </c>
      <c r="T59" s="78"/>
      <c r="U59" s="78"/>
      <c r="V59" s="78"/>
      <c r="W59" s="78"/>
      <c r="X59" s="78"/>
      <c r="Y59" s="78"/>
      <c r="AA59" s="79">
        <f>ROUND(SUM(AA28:AA54), 4)</f>
        <v>0</v>
      </c>
    </row>
    <row r="60" spans="1:27" x14ac:dyDescent="0.25">
      <c r="A60" s="80" t="s">
        <v>87</v>
      </c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</row>
    <row r="61" spans="1:27" x14ac:dyDescent="0.25">
      <c r="A61" s="81" t="s">
        <v>88</v>
      </c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</row>
    <row r="62" spans="1:27" x14ac:dyDescent="0.25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</row>
    <row r="63" spans="1:27" x14ac:dyDescent="0.25">
      <c r="A63" s="82" t="s">
        <v>89</v>
      </c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3" t="s">
        <v>90</v>
      </c>
      <c r="S63" s="83"/>
      <c r="T63" s="83"/>
      <c r="U63" s="83"/>
      <c r="V63" s="83"/>
      <c r="W63" s="83"/>
      <c r="X63" s="83"/>
      <c r="Y63" s="83"/>
      <c r="Z63" s="83"/>
      <c r="AA63" s="83"/>
    </row>
    <row r="64" spans="1:27" x14ac:dyDescent="0.25">
      <c r="A64" s="82" t="s">
        <v>91</v>
      </c>
      <c r="B64" s="82"/>
      <c r="C64" s="82"/>
      <c r="D64" s="82"/>
      <c r="E64" s="82"/>
      <c r="F64" s="82"/>
      <c r="G64" s="84" t="s">
        <v>92</v>
      </c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5" t="s">
        <v>93</v>
      </c>
      <c r="S64" s="85"/>
      <c r="T64" s="85"/>
      <c r="U64" s="85"/>
      <c r="V64" s="85"/>
      <c r="W64" s="85"/>
      <c r="X64" s="85"/>
      <c r="Y64" s="85"/>
      <c r="Z64" s="85"/>
      <c r="AA64" s="85"/>
    </row>
    <row r="65" spans="1:27" x14ac:dyDescent="0.25">
      <c r="A65" s="82" t="s">
        <v>94</v>
      </c>
      <c r="B65" s="82"/>
      <c r="C65" s="82"/>
      <c r="D65" s="82"/>
      <c r="E65" s="82"/>
      <c r="F65" s="82"/>
      <c r="G65" s="84" t="s">
        <v>95</v>
      </c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12"/>
      <c r="AA65" s="86"/>
    </row>
    <row r="66" spans="1:27" x14ac:dyDescent="0.25">
      <c r="A66" s="82" t="s">
        <v>96</v>
      </c>
      <c r="B66" s="82"/>
      <c r="C66" s="82"/>
      <c r="D66" s="82"/>
      <c r="E66" s="82"/>
      <c r="F66" s="82"/>
      <c r="G66" s="84" t="s">
        <v>97</v>
      </c>
      <c r="H66" s="84"/>
      <c r="I66" s="84"/>
      <c r="J66" s="84"/>
      <c r="K66" s="84"/>
      <c r="L66" s="84" t="s">
        <v>98</v>
      </c>
      <c r="M66" s="84"/>
      <c r="N66" s="84"/>
      <c r="O66" s="84"/>
      <c r="P66" s="84"/>
      <c r="Q66" s="84"/>
      <c r="R66" s="12"/>
      <c r="AA66" s="86"/>
    </row>
    <row r="67" spans="1:27" x14ac:dyDescent="0.25">
      <c r="A67" s="8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48"/>
      <c r="R67" s="12"/>
      <c r="AA67" s="86"/>
    </row>
    <row r="68" spans="1:27" x14ac:dyDescent="0.25">
      <c r="A68" s="88" t="s">
        <v>99</v>
      </c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12"/>
      <c r="AA68" s="86"/>
    </row>
    <row r="69" spans="1:27" x14ac:dyDescent="0.25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9" t="s">
        <v>100</v>
      </c>
      <c r="S69" s="89"/>
      <c r="T69" s="89"/>
      <c r="U69" s="89"/>
      <c r="V69" s="89"/>
      <c r="W69" s="89"/>
      <c r="X69" s="89"/>
      <c r="Y69" s="89"/>
      <c r="Z69" s="89"/>
      <c r="AA69" s="89"/>
    </row>
  </sheetData>
  <mergeCells count="167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8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B31:D31"/>
    <mergeCell ref="E31:Q31"/>
    <mergeCell ref="S31:T31"/>
    <mergeCell ref="U31:V31"/>
    <mergeCell ref="W31:X31"/>
    <mergeCell ref="B32:D32"/>
    <mergeCell ref="E32:Q32"/>
    <mergeCell ref="S32:T32"/>
    <mergeCell ref="U32:V32"/>
    <mergeCell ref="W32:X32"/>
    <mergeCell ref="B33:D33"/>
    <mergeCell ref="E33:Q33"/>
    <mergeCell ref="S33:T33"/>
    <mergeCell ref="U33:V33"/>
    <mergeCell ref="W33:X33"/>
    <mergeCell ref="B34:D34"/>
    <mergeCell ref="E34:Q34"/>
    <mergeCell ref="S34:T34"/>
    <mergeCell ref="U34:V34"/>
    <mergeCell ref="W34:X34"/>
    <mergeCell ref="B35:D35"/>
    <mergeCell ref="E35:Q35"/>
    <mergeCell ref="S35:T35"/>
    <mergeCell ref="U35:V35"/>
    <mergeCell ref="W35:X35"/>
    <mergeCell ref="B36:D36"/>
    <mergeCell ref="E36:Q36"/>
    <mergeCell ref="S36:T36"/>
    <mergeCell ref="U36:V36"/>
    <mergeCell ref="W36:X36"/>
    <mergeCell ref="E37:Q37"/>
    <mergeCell ref="B38:D38"/>
    <mergeCell ref="E38:Q38"/>
    <mergeCell ref="S38:T38"/>
    <mergeCell ref="U38:V38"/>
    <mergeCell ref="W38:X38"/>
    <mergeCell ref="B39:D39"/>
    <mergeCell ref="E39:Q39"/>
    <mergeCell ref="S39:T39"/>
    <mergeCell ref="U39:V39"/>
    <mergeCell ref="W39:X39"/>
    <mergeCell ref="B40:D40"/>
    <mergeCell ref="E40:Q40"/>
    <mergeCell ref="S40:T40"/>
    <mergeCell ref="U40:V40"/>
    <mergeCell ref="W40:X40"/>
    <mergeCell ref="B41:D41"/>
    <mergeCell ref="E41:Q41"/>
    <mergeCell ref="S41:T41"/>
    <mergeCell ref="U41:V41"/>
    <mergeCell ref="W41:X41"/>
    <mergeCell ref="B42:D42"/>
    <mergeCell ref="E42:Q42"/>
    <mergeCell ref="S42:T42"/>
    <mergeCell ref="U42:V42"/>
    <mergeCell ref="W42:X42"/>
    <mergeCell ref="B43:D43"/>
    <mergeCell ref="E43:Q43"/>
    <mergeCell ref="S43:T43"/>
    <mergeCell ref="U43:V43"/>
    <mergeCell ref="W43:X43"/>
    <mergeCell ref="B44:D44"/>
    <mergeCell ref="E44:Q44"/>
    <mergeCell ref="S44:T44"/>
    <mergeCell ref="U44:V44"/>
    <mergeCell ref="W44:X44"/>
    <mergeCell ref="A45:D52"/>
    <mergeCell ref="E48:Q48"/>
    <mergeCell ref="S48:T54"/>
    <mergeCell ref="U48:V54"/>
    <mergeCell ref="W48:X54"/>
    <mergeCell ref="E49:Q50"/>
    <mergeCell ref="R48:R54"/>
    <mergeCell ref="Y48:Y54"/>
    <mergeCell ref="Z48:Z54"/>
    <mergeCell ref="AA48:AA54"/>
    <mergeCell ref="E51:Q52"/>
    <mergeCell ref="A53:E53"/>
    <mergeCell ref="F53:H53"/>
    <mergeCell ref="I53:Q53"/>
    <mergeCell ref="A54:E54"/>
    <mergeCell ref="F54:H54"/>
    <mergeCell ref="I54:Q54"/>
    <mergeCell ref="A55:G55"/>
    <mergeCell ref="H55:Q56"/>
    <mergeCell ref="S55:T55"/>
    <mergeCell ref="W55:Y55"/>
    <mergeCell ref="A56:G56"/>
    <mergeCell ref="S56:T56"/>
    <mergeCell ref="W56:Y56"/>
    <mergeCell ref="Z55:Z56"/>
    <mergeCell ref="AA55:AA56"/>
    <mergeCell ref="A57:Q57"/>
    <mergeCell ref="A58:Q59"/>
    <mergeCell ref="S59:Y59"/>
    <mergeCell ref="A60:AA60"/>
    <mergeCell ref="A61:AA62"/>
    <mergeCell ref="A63:Q63"/>
    <mergeCell ref="R63:AA63"/>
    <mergeCell ref="A64:F64"/>
    <mergeCell ref="G64:Q64"/>
    <mergeCell ref="R64:AA64"/>
    <mergeCell ref="A65:F65"/>
    <mergeCell ref="G65:Q65"/>
    <mergeCell ref="A66:F66"/>
    <mergeCell ref="G66:K66"/>
    <mergeCell ref="L66:Q66"/>
    <mergeCell ref="A68:Q69"/>
    <mergeCell ref="R69:AA69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2025-08-17T09:35:50Z</dcterms:created>
  <dcterms:modified xsi:type="dcterms:W3CDTF">2025-08-17T09:35:50Z</dcterms:modified>
</cp:coreProperties>
</file>