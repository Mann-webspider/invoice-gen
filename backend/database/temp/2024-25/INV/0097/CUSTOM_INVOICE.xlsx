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<sst xmlns="http://schemas.openxmlformats.org/spreadsheetml/2006/main" count="79" uniqueCount="71">
  <si>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</si>
  <si>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</si>
  <si>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</si>
  <si>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</si>
  <si>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</si>
  <si>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</si>
  <si>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INV/0097/2024-25</t>
  </si>
  <si>
    <t xml:space="preserve">I. E. Code #: AACFZ6694H
PAN No #: AACFZ6694H
GSTIN No #: 24AACFZ6694H1ZP
STATE CODE : 24</t>
  </si>
  <si>
    <t>Dt. 05.08.2025</t>
  </si>
  <si>
    <t>Buyer's Order no. &amp; Date</t>
  </si>
  <si>
    <t>zala    2025-08-13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</si>
  <si>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</si>
  <si>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</si>
  <si>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</si>
  <si>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</si>
  <si>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</si>
  <si>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</si>
  <si>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</si>
  <si>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</si>
  <si>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aa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</si>
  <si>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</si>
  <si>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</si>
  <si>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</si>
  <si>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</si>
  <si>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</si>
  <si>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</si>
  <si>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</si>
  <si>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</si>
  <si>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</si>
  <si>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</si>
  <si>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>Hazira Port</t>
  </si>
  <si>
    <t>CIF AT Hazira Port PORT</t>
  </si>
  <si>
    <t>Port of Discharge</t>
  </si>
  <si>
    <t>Final Destination</t>
  </si>
  <si>
    <t>aws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</si>
  <si>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</si>
  <si>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</si>
  <si>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</si>
  <si>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</si>
  <si>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</si>
  <si>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</si>
  <si>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</si>
  <si>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</si>
  <si>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</si>
  <si>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</si>
  <si>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</si>
  <si>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</si>
  <si>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(USD)</t>
  </si>
  <si>
    <t>IN (USD)</t>
  </si>
  <si>
    <t>SR NO.</t>
  </si>
  <si>
    <t>HSN CODE</t>
  </si>
  <si>
    <t>CERAMIC SANITARYWARE</t>
  </si>
  <si>
    <t>awsd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</si>
  <si>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</si>
  <si>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</si>
  <si>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</si>
  <si>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</si>
  <si>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</si>
  <si>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</si>
  <si>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</si>
  <si>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</si>
  <si>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</si>
  <si>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</si>
  <si>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ONE HUNDRED AND THIRTY FOUR THOUSAND SEVENTY TWO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</si>
  <si>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</si>
  <si>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</si>
  <si>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6178036.38
(TAXABLE CIF INR VALUE 34322424.32@ 18% )                                                                            6178036.38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</si>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</sst>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31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 t="s">
        <v>37</v>
      </c>
      <c r="W26" s="33"/>
      <c r="X26" s="33"/>
      <c r="Y26" s="34">
        <v>256</v>
      </c>
      <c r="Z26" s="34"/>
      <c r="AA26" s="34"/>
    </row>
    <row r="27" spans="1:27" x14ac:dyDescent="0.25">
      <c r="A27" s="35" t="s">
        <v>38</v>
      </c>
      <c r="B27" s="35"/>
      <c r="C27" s="35"/>
      <c r="D27" s="35"/>
      <c r="E27" s="36" t="s">
        <v>39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40</v>
      </c>
      <c r="S27" s="37"/>
      <c r="T27" s="37" t="s">
        <v>41</v>
      </c>
      <c r="U27" s="37"/>
      <c r="V27" s="37" t="s">
        <v>42</v>
      </c>
      <c r="W27" s="37"/>
      <c r="X27" s="37"/>
      <c r="Y27" s="38" t="s">
        <v>43</v>
      </c>
      <c r="Z27" s="38"/>
      <c r="AA27" s="38"/>
    </row>
    <row r="28" ht="24" customHeight="1" spans="1:27" x14ac:dyDescent="0.25">
      <c r="A28" s="39" t="s">
        <v>44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45</v>
      </c>
      <c r="S28" s="40"/>
      <c r="T28" s="40" t="s">
        <v>46</v>
      </c>
      <c r="U28" s="40"/>
      <c r="V28" s="40" t="s">
        <v>47</v>
      </c>
      <c r="W28" s="40"/>
      <c r="X28" s="40"/>
      <c r="Y28" s="41" t="s">
        <v>48</v>
      </c>
      <c r="Z28" s="41"/>
      <c r="AA28" s="41"/>
    </row>
    <row r="29" ht="46" customHeight="1" spans="1:27" x14ac:dyDescent="0.25">
      <c r="A29" s="42" t="s">
        <v>49</v>
      </c>
      <c r="B29" s="43" t="s">
        <v>50</v>
      </c>
      <c r="C29" s="43"/>
      <c r="D29" s="43"/>
      <c r="E29" s="44" t="s">
        <v>51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52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25</v>
      </c>
      <c r="S30" s="51"/>
      <c r="T30" s="52" t="s">
        <v>46</v>
      </c>
      <c r="U30" s="52"/>
      <c r="V30" s="51">
        <v>3652</v>
      </c>
      <c r="W30" s="51"/>
      <c r="X30" s="51"/>
      <c r="Y30" s="53">
        <f>ROUND(R30*V30, 2)</f>
        <v>0</v>
      </c>
      <c r="Z30" s="53"/>
      <c r="AA30" s="53"/>
    </row>
    <row r="31" spans="1:27" x14ac:dyDescent="0.25">
      <c r="A31" s="54"/>
      <c r="B31" s="54"/>
      <c r="C31" s="54"/>
      <c r="D31" s="54"/>
      <c r="E31" s="45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6"/>
      <c r="R31" s="45"/>
      <c r="S31" s="46"/>
      <c r="T31" s="45"/>
      <c r="U31" s="46"/>
      <c r="V31" s="45"/>
      <c r="W31" s="47"/>
      <c r="X31" s="46"/>
      <c r="Y31" s="45"/>
      <c r="Z31" s="47"/>
      <c r="AA31" s="48"/>
    </row>
    <row r="32" spans="1:27" x14ac:dyDescent="0.25">
      <c r="A32" s="54"/>
      <c r="B32" s="54"/>
      <c r="C32" s="54"/>
      <c r="D32" s="54"/>
      <c r="E32" s="45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6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54"/>
      <c r="B33" s="54"/>
      <c r="C33" s="54"/>
      <c r="D33" s="54"/>
      <c r="E33" s="55" t="s">
        <v>53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6"/>
      <c r="S33" s="56"/>
      <c r="T33" s="56"/>
      <c r="U33" s="56"/>
      <c r="V33" s="56"/>
      <c r="W33" s="56"/>
      <c r="X33" s="56"/>
      <c r="Y33" s="57"/>
      <c r="Z33" s="57"/>
      <c r="AA33" s="57"/>
    </row>
    <row r="34" spans="1:27" x14ac:dyDescent="0.25">
      <c r="A34" s="54"/>
      <c r="B34" s="54"/>
      <c r="C34" s="54"/>
      <c r="D34" s="54"/>
      <c r="E34" s="50" t="s">
        <v>54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6"/>
      <c r="S34" s="56"/>
      <c r="T34" s="56"/>
      <c r="U34" s="56"/>
      <c r="V34" s="56"/>
      <c r="W34" s="56"/>
      <c r="X34" s="56"/>
      <c r="Y34" s="57"/>
      <c r="Z34" s="57"/>
      <c r="AA34" s="57"/>
    </row>
    <row r="35" spans="1:27" x14ac:dyDescent="0.25">
      <c r="A35" s="54"/>
      <c r="B35" s="54"/>
      <c r="C35" s="54"/>
      <c r="D35" s="54"/>
      <c r="E35" s="58" t="s">
        <v>55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7"/>
      <c r="Z35" s="57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7"/>
      <c r="Z36" s="57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7"/>
      <c r="Z37" s="57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7"/>
      <c r="Z38" s="57"/>
      <c r="AA38" s="57"/>
    </row>
    <row r="39" spans="1:27" x14ac:dyDescent="0.25">
      <c r="A39" s="59" t="s">
        <v>56</v>
      </c>
      <c r="B39" s="59"/>
      <c r="C39" s="59"/>
      <c r="D39" s="59"/>
      <c r="E39" s="60" t="s">
        <v>57</v>
      </c>
      <c r="F39" s="60"/>
      <c r="G39" s="60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7"/>
      <c r="AA39" s="57"/>
    </row>
    <row r="40" spans="1:27" x14ac:dyDescent="0.25">
      <c r="A40" s="59" t="s">
        <v>58</v>
      </c>
      <c r="B40" s="59"/>
      <c r="C40" s="59"/>
      <c r="D40" s="59"/>
      <c r="E40" s="60" t="s">
        <v>57</v>
      </c>
      <c r="F40" s="60"/>
      <c r="G40" s="60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7"/>
      <c r="Z40" s="57"/>
      <c r="AA40" s="57"/>
    </row>
    <row r="41" spans="1:27" x14ac:dyDescent="0.25">
      <c r="A41" s="61" t="s">
        <v>59</v>
      </c>
      <c r="B41" s="61"/>
      <c r="C41" s="61"/>
      <c r="D41" s="61"/>
      <c r="E41" s="61"/>
      <c r="F41" s="61"/>
      <c r="G41" s="61"/>
      <c r="H41" s="43" t="s">
        <v>60</v>
      </c>
      <c r="I41" s="43"/>
      <c r="J41" s="43"/>
      <c r="K41" s="43"/>
      <c r="L41" s="43"/>
      <c r="M41" s="43"/>
      <c r="N41" s="43"/>
      <c r="O41" s="43"/>
      <c r="P41" s="43"/>
      <c r="Q41" s="43"/>
      <c r="R41" s="4">
        <f>ROUND(SUM(R30:R40), 2)</f>
        <v>0</v>
      </c>
      <c r="S41" s="4"/>
      <c r="T41" s="43" t="s">
        <v>41</v>
      </c>
      <c r="U41" s="43"/>
      <c r="V41" s="43" t="s">
        <v>61</v>
      </c>
      <c r="W41" s="43"/>
      <c r="X41" s="43"/>
      <c r="Y41" s="62">
        <f>ROUND(SUM(Y30:Y40), 2)</f>
        <v>0</v>
      </c>
      <c r="Z41" s="62"/>
      <c r="AA41" s="62"/>
    </row>
    <row r="42" spans="1:27" x14ac:dyDescent="0.25">
      <c r="A42" s="63" t="str">
        <f>INT(SUM(R30:R40)) &amp; " BOX"</f>
        <v>0BOX</v>
      </c>
      <c r="B42" s="63"/>
      <c r="C42" s="63"/>
      <c r="D42" s="63"/>
      <c r="E42" s="63"/>
      <c r="F42" s="63"/>
      <c r="G42" s="6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26" t="s">
        <v>46</v>
      </c>
      <c r="S42" s="26"/>
      <c r="T42" s="43" t="s">
        <v>46</v>
      </c>
      <c r="U42" s="43"/>
      <c r="V42" s="43"/>
      <c r="W42" s="43"/>
      <c r="X42" s="43"/>
      <c r="Y42" s="62"/>
      <c r="Z42" s="62"/>
      <c r="AA42" s="62"/>
    </row>
    <row r="43" spans="1:27" x14ac:dyDescent="0.25">
      <c r="A43" s="64" t="s">
        <v>62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56"/>
      <c r="S43" s="56"/>
      <c r="T43" s="56"/>
      <c r="U43" s="56"/>
      <c r="V43" s="56"/>
      <c r="W43" s="56"/>
      <c r="X43" s="56"/>
      <c r="Y43" s="57"/>
      <c r="Z43" s="57"/>
      <c r="AA43" s="57"/>
    </row>
    <row r="44" spans="1:27" x14ac:dyDescent="0.25">
      <c r="A44" s="65" t="s">
        <v>63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56"/>
      <c r="S44" s="56"/>
      <c r="T44" s="56"/>
      <c r="U44" s="56"/>
      <c r="V44" s="56"/>
      <c r="W44" s="56"/>
      <c r="X44" s="56"/>
      <c r="Y44" s="57"/>
      <c r="Z44" s="57"/>
      <c r="AA44" s="57"/>
    </row>
    <row r="45" spans="1:27" x14ac:dyDescent="0.2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6" t="s">
        <v>64</v>
      </c>
      <c r="S45" s="66"/>
      <c r="T45" s="66"/>
      <c r="U45" s="66"/>
      <c r="V45" s="66"/>
      <c r="W45" s="66"/>
      <c r="X45" s="66"/>
      <c r="Y45" s="67">
        <f>ROUND(SUM(Y28:Y40), 4) + 58.97 + 2541</f>
        <v>0</v>
      </c>
      <c r="Z45" s="67"/>
      <c r="AA45" s="67"/>
    </row>
    <row r="46" spans="1:27" x14ac:dyDescent="0.25">
      <c r="A46" s="68" t="s">
        <v>65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spans="1:27" x14ac:dyDescent="0.25">
      <c r="A47" s="69" t="s">
        <v>66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</row>
    <row r="48" spans="1:27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</row>
    <row r="49" spans="1:27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70" t="s">
        <v>67</v>
      </c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</row>
    <row r="50" spans="1:27" x14ac:dyDescent="0.25">
      <c r="A50" s="54"/>
      <c r="B50" s="54"/>
      <c r="C50" s="54"/>
      <c r="D50" s="54"/>
      <c r="E50" s="54"/>
      <c r="F50" s="56"/>
      <c r="G50" s="56"/>
      <c r="H50" s="56"/>
      <c r="I50" s="56"/>
      <c r="J50" s="56"/>
      <c r="K50" s="56"/>
      <c r="L50" s="56"/>
      <c r="M50" s="56"/>
      <c r="N50" s="71" t="s">
        <v>68</v>
      </c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</row>
    <row r="51" spans="1:27" x14ac:dyDescent="0.25">
      <c r="A51" s="54"/>
      <c r="B51" s="54"/>
      <c r="C51" s="54"/>
      <c r="D51" s="54"/>
      <c r="E51" s="54"/>
      <c r="F51" s="56"/>
      <c r="G51" s="56"/>
      <c r="H51" s="56"/>
      <c r="I51" s="56"/>
      <c r="J51" s="56"/>
      <c r="K51" s="56"/>
      <c r="L51" s="56"/>
      <c r="M51" s="56"/>
      <c r="N51" s="11"/>
      <c r="AA51" s="72"/>
    </row>
    <row r="52" spans="1:27" x14ac:dyDescent="0.25">
      <c r="A52" s="54"/>
      <c r="B52" s="54"/>
      <c r="C52" s="54"/>
      <c r="D52" s="54"/>
      <c r="E52" s="54"/>
      <c r="F52" s="73"/>
      <c r="G52" s="73"/>
      <c r="H52" s="73"/>
      <c r="I52" s="73"/>
      <c r="J52" s="73"/>
      <c r="K52" s="73"/>
      <c r="L52" s="73"/>
      <c r="M52" s="73"/>
      <c r="N52" s="11"/>
      <c r="AA52" s="72"/>
    </row>
    <row r="53" spans="1:27" x14ac:dyDescent="0.25">
      <c r="A53" s="74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6"/>
      <c r="N53" s="11"/>
      <c r="AA53" s="72"/>
    </row>
    <row r="54" spans="1:27" x14ac:dyDescent="0.25">
      <c r="A54" s="75" t="s">
        <v>69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11"/>
      <c r="AA54" s="72"/>
    </row>
    <row r="55" spans="1:27" x14ac:dyDescent="0.2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6" t="s">
        <v>70</v>
      </c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</sheetData>
  <mergeCells count="107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A31:D38"/>
    <mergeCell ref="E33:Q33"/>
    <mergeCell ref="R33:S40"/>
    <mergeCell ref="T33:U40"/>
    <mergeCell ref="V33:X40"/>
    <mergeCell ref="Y33:AA40"/>
    <mergeCell ref="E34:Q34"/>
    <mergeCell ref="E35:Q36"/>
    <mergeCell ref="E37:Q38"/>
    <mergeCell ref="A39:D39"/>
    <mergeCell ref="E39:G39"/>
    <mergeCell ref="H39:Q39"/>
    <mergeCell ref="A40:D40"/>
    <mergeCell ref="E40:G40"/>
    <mergeCell ref="H40:Q40"/>
    <mergeCell ref="A41:G41"/>
    <mergeCell ref="H41:Q42"/>
    <mergeCell ref="R41:S41"/>
    <mergeCell ref="T41:U41"/>
    <mergeCell ref="V41:X42"/>
    <mergeCell ref="Y41:AA42"/>
    <mergeCell ref="A42:G42"/>
    <mergeCell ref="R42:S42"/>
    <mergeCell ref="T42:U42"/>
    <mergeCell ref="A43:Q43"/>
    <mergeCell ref="R43:X43"/>
    <mergeCell ref="Y43:AA43"/>
    <mergeCell ref="A44:Q45"/>
    <mergeCell ref="R44:X44"/>
    <mergeCell ref="Y44:AA44"/>
    <mergeCell ref="R45:X45"/>
    <mergeCell ref="Y45:AA45"/>
    <mergeCell ref="A46:AA46"/>
    <mergeCell ref="A47:AA48"/>
    <mergeCell ref="A49:M49"/>
    <mergeCell ref="N49:AA49"/>
    <mergeCell ref="A50:E50"/>
    <mergeCell ref="F50:M50"/>
    <mergeCell ref="N50:AA50"/>
    <mergeCell ref="A51:E51"/>
    <mergeCell ref="F51:M51"/>
    <mergeCell ref="A52:E52"/>
    <mergeCell ref="F52:I52"/>
    <mergeCell ref="J52:M52"/>
    <mergeCell ref="A54:M55"/>
    <mergeCell ref="N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2025-08-05T19:38:11Z</dcterms:created>
  <dcterms:modified xsi:type="dcterms:W3CDTF">2025-08-05T19:38:11Z</dcterms:modified>
</cp:coreProperties>
</file>