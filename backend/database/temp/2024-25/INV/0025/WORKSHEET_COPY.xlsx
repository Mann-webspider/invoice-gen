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PY OF CUSTOM INVOICE" state="visible" r:id="rId4"/>
  </sheets>
  <calcPr calcId="171027"/>
</workbook>
</file>

<file path=xl/sharedStrings.xml><?xml version="1.0" encoding="utf-8"?>
<sst xmlns="http://schemas.openxmlformats.org/spreadsheetml/2006/main" count="90" uniqueCount="78">
  <si>
    <t>CUSTOMS INVOICE</t>
  </si>
  <si>
    <t>“SUPPLY MEANT FOR EXPORT WITH PAYMENT OF INTEGRATED TAX (IGST)”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</si>
  <si>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</si>
  <si>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</si>
  <si>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</si>
  <si>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</si>
  <si>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INV/0025/2024-25</t>
  </si>
  <si>
    <t xml:space="preserve">I. E. Code #: AACFZ6694H
PAN No #: AACFZ6694H
GSTIN No #: 24AACFZ6694H1ZP
STATE CODE : 24</t>
  </si>
  <si>
    <t>Dt. 8.8.2025</t>
  </si>
  <si>
    <t>Buyer's Order no. &amp; Date</t>
  </si>
  <si>
    <t>qwe    11/08/2025</t>
  </si>
  <si>
    <t>EMAIL:</t>
  </si>
  <si>
    <t>info@zericceramic.com</t>
  </si>
  <si>
    <t>TAX ID:</t>
  </si>
  <si>
    <t>24AACFZ6694H1ZP</t>
  </si>
  <si>
    <t>PO No: qwe</t>
  </si>
  <si>
    <t>Consignee:</t>
  </si>
  <si>
    <t>Notify Party # :</t>
  </si>
  <si>
    <t>qwe</t>
  </si>
  <si>
    <t>Pre-Carriage By</t>
  </si>
  <si>
    <t>Place of Receipt by Pre-Carrier</t>
  </si>
  <si>
    <r>
      <rPr/>
      <t xml:space="preserve">Country of Origin of Goods : </t>
    </r>
    <r>
      <rPr>
        <b/>
      </rPr>
      <t>-</t>
    </r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</si>
  <si>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</si>
  <si>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</si>
  <si>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</si>
  <si>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</si>
  <si>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</si>
  <si>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</si>
  <si>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</si>
  <si>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</si>
  <si>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CIF AT Cat Lai Port PORT</t>
  </si>
  <si>
    <t>Port of Discharge</t>
  </si>
  <si>
    <t>Final Destination</t>
  </si>
  <si>
    <t>PAYMENT : qwe</t>
  </si>
  <si>
    <t>Cat Lai Port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</si>
  <si>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</si>
  <si>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</si>
  <si>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</si>
  <si>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</si>
  <si>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</si>
  <si>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</si>
  <si>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</si>
  <si>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</si>
  <si>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 X 40' FCL</t>
  </si>
  <si>
    <t>PKGS</t>
  </si>
  <si>
    <t>BOX</t>
  </si>
  <si>
    <t>UNIT (USD)</t>
  </si>
  <si>
    <t>IN (USD)</t>
  </si>
  <si>
    <t>SR NO.</t>
  </si>
  <si>
    <t>HSN CODE</t>
  </si>
  <si>
    <t>Glazed porcelain Floor Tiles</t>
  </si>
  <si>
    <t>BATH WARE</t>
  </si>
  <si>
    <t>ewq</t>
  </si>
  <si>
    <t>CELLING FAN ITC</t>
  </si>
  <si>
    <t>custom</t>
  </si>
  <si>
    <t>kumar</t>
  </si>
  <si>
    <t>ni kuvari</t>
  </si>
  <si>
    <t>CARTON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</si>
  <si>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</si>
  <si>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</si>
  <si>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</si>
  <si>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</si>
  <si>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-</t>
  </si>
  <si>
    <t xml:space="preserve">GROSS WT.(KGS): </t>
  </si>
  <si>
    <t>Nos. of Kind Packages</t>
  </si>
  <si>
    <t>Total     &gt;&gt;&gt;&gt;&gt;&gt;&gt;&gt;&gt;&gt;</t>
  </si>
  <si>
    <t>CIF USD</t>
  </si>
  <si>
    <t>TOTAL CIF USD:</t>
  </si>
  <si>
    <t>INSURANCE</t>
  </si>
  <si>
    <t>SIXTEEN THOUSAND SIX HUNDRED AND TWENTY FIVE ONLY.</t>
  </si>
  <si>
    <t>FREIGHT</t>
  </si>
  <si>
    <t>TOTAL CIF USD</t>
  </si>
  <si>
    <t>EXPORT UNDER GST CIRCULAR NO. 26/2017 Customs DT.01/07/2017</t>
  </si>
  <si>
    <t xml:space="preserve">SUPPLY MEANT FOR EXPORT ON PAYMENT OF IGST UNDER CLAIM OF REFUND RS. TOTAL : 332173.69
(TAXABLE CIF INR VALUE 1845409.41@ 18% )                                                                            332173.69  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</si>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</sst>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4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sz val="10"/>
      <name val="Arial"/>
    </font>
    <font>
      <u/>
      <sz val="10"/>
    </font>
    <font>
      <i/>
      <sz val="10"/>
    </font>
    <font>
      <i/>
      <color rgb="FFFF0000"/>
      <sz val="10"/>
      <name val="Arial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4" fillId="0" borderId="7" xfId="0" applyFont="1" applyBorder="1" applyAlignment="1">
      <alignment vertical="top" wrapText="1"/>
    </xf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right"/>
    </xf>
    <xf numFmtId="0" fontId="1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164" fontId="9" fillId="0" borderId="26" xfId="0" applyNumberFormat="1" applyFont="1" applyBorder="1" applyAlignment="1">
      <alignment horizontal="center"/>
    </xf>
    <xf numFmtId="164" fontId="9" fillId="0" borderId="31" xfId="0" applyNumberFormat="1" applyFont="1" applyBorder="1" applyAlignment="1">
      <alignment horizontal="center"/>
    </xf>
    <xf numFmtId="0" fontId="0" fillId="0" borderId="25" xfId="0" applyBorder="1"/>
    <xf numFmtId="0" fontId="4" fillId="0" borderId="6" xfId="0" applyFont="1" applyBorder="1"/>
    <xf numFmtId="0" fontId="10" fillId="0" borderId="26" xfId="0" applyFont="1" applyBorder="1" applyAlignment="1">
      <alignment horizontal="center"/>
    </xf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1" fillId="0" borderId="6" xfId="0" applyFont="1" applyBorder="1" applyAlignment="1">
      <alignment horizontal="right"/>
    </xf>
    <xf numFmtId="0" fontId="1" fillId="0" borderId="26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" fillId="0" borderId="6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55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1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1" t="s">
        <v>10</v>
      </c>
      <c r="P7" s="11"/>
      <c r="Q7" s="11"/>
      <c r="R7" s="11"/>
      <c r="S7" s="11"/>
      <c r="T7" s="11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P8" s="11"/>
      <c r="Q8" s="11"/>
      <c r="R8" s="11"/>
      <c r="S8" s="11"/>
      <c r="T8" s="11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  <c r="T9" s="13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  <c r="T10" s="13"/>
      <c r="U10" s="8"/>
      <c r="V10" s="8"/>
      <c r="W10" s="8"/>
      <c r="X10" s="8"/>
      <c r="Y10" s="8"/>
      <c r="Z10" s="8"/>
      <c r="AA10" s="8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/>
      <c r="T11" s="13"/>
      <c r="U11" s="8"/>
      <c r="V11" s="8"/>
      <c r="W11" s="8"/>
      <c r="X11" s="8"/>
      <c r="Y11" s="8"/>
      <c r="Z11" s="8"/>
      <c r="AA11" s="8"/>
    </row>
    <row r="12" spans="1:27" x14ac:dyDescent="0.25">
      <c r="A12" s="16" t="s">
        <v>13</v>
      </c>
      <c r="B12" s="16"/>
      <c r="C12" s="17" t="s">
        <v>14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8" t="s">
        <v>16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 t="s">
        <v>17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20" t="s">
        <v>18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18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2" t="s">
        <v>19</v>
      </c>
      <c r="B20" s="22"/>
      <c r="C20" s="22"/>
      <c r="D20" s="22"/>
      <c r="E20" s="22"/>
      <c r="F20" s="22"/>
      <c r="G20" s="22"/>
      <c r="H20" s="23" t="s">
        <v>20</v>
      </c>
      <c r="I20" s="23"/>
      <c r="J20" s="23"/>
      <c r="K20" s="23"/>
      <c r="L20" s="23"/>
      <c r="M20" s="23"/>
      <c r="N20" s="23"/>
      <c r="O20" s="23" t="s">
        <v>21</v>
      </c>
      <c r="P20" s="23"/>
      <c r="Q20" s="23"/>
      <c r="R20" s="23"/>
      <c r="S20" s="23"/>
      <c r="T20" s="23"/>
      <c r="U20" s="23"/>
      <c r="V20" s="23"/>
      <c r="W20" s="24" t="s">
        <v>22</v>
      </c>
      <c r="X20" s="24"/>
      <c r="Y20" s="24"/>
      <c r="Z20" s="24"/>
      <c r="AA20" s="24"/>
    </row>
    <row r="21" spans="1:27" x14ac:dyDescent="0.25">
      <c r="A21" s="25" t="s">
        <v>18</v>
      </c>
      <c r="B21" s="25"/>
      <c r="C21" s="25"/>
      <c r="D21" s="25"/>
      <c r="E21" s="25"/>
      <c r="F21" s="25"/>
      <c r="G21" s="25"/>
      <c r="H21" s="26" t="s">
        <v>23</v>
      </c>
      <c r="I21" s="26"/>
      <c r="J21" s="26"/>
      <c r="K21" s="26"/>
      <c r="L21" s="26"/>
      <c r="M21" s="26"/>
      <c r="N21" s="26"/>
      <c r="O21" s="27" t="s">
        <v>24</v>
      </c>
      <c r="P21" s="27"/>
      <c r="Q21" s="27"/>
      <c r="R21" s="27"/>
      <c r="S21" s="27"/>
      <c r="T21" s="27"/>
      <c r="U21" s="27"/>
      <c r="V21" s="27"/>
      <c r="W21" s="28" t="s">
        <v>25</v>
      </c>
      <c r="X21" s="28"/>
      <c r="Y21" s="28"/>
      <c r="Z21" s="28"/>
      <c r="AA21" s="28"/>
    </row>
    <row r="22" spans="1:27" x14ac:dyDescent="0.25">
      <c r="A22" s="22" t="s">
        <v>26</v>
      </c>
      <c r="B22" s="22"/>
      <c r="C22" s="22"/>
      <c r="D22" s="22"/>
      <c r="E22" s="22"/>
      <c r="F22" s="22"/>
      <c r="G22" s="22"/>
      <c r="H22" s="23" t="s">
        <v>27</v>
      </c>
      <c r="I22" s="23"/>
      <c r="J22" s="23"/>
      <c r="K22" s="23"/>
      <c r="L22" s="23"/>
      <c r="M22" s="23"/>
      <c r="N22" s="23"/>
      <c r="O22" s="5" t="s">
        <v>28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5" t="s">
        <v>18</v>
      </c>
      <c r="B23" s="25"/>
      <c r="C23" s="25"/>
      <c r="D23" s="25"/>
      <c r="E23" s="25"/>
      <c r="F23" s="25"/>
      <c r="G23" s="25"/>
      <c r="H23" s="26" t="s">
        <v>29</v>
      </c>
      <c r="I23" s="26"/>
      <c r="J23" s="26"/>
      <c r="K23" s="26"/>
      <c r="L23" s="26"/>
      <c r="M23" s="26"/>
      <c r="N23" s="26"/>
      <c r="O23" s="29" t="s">
        <v>30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22" t="s">
        <v>31</v>
      </c>
      <c r="B24" s="22"/>
      <c r="C24" s="22"/>
      <c r="D24" s="22"/>
      <c r="E24" s="22"/>
      <c r="F24" s="22"/>
      <c r="G24" s="22"/>
      <c r="H24" s="23" t="s">
        <v>32</v>
      </c>
      <c r="I24" s="23"/>
      <c r="J24" s="23"/>
      <c r="K24" s="23"/>
      <c r="L24" s="23"/>
      <c r="M24" s="23"/>
      <c r="N24" s="23"/>
      <c r="O24" s="30" t="s">
        <v>33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x14ac:dyDescent="0.25">
      <c r="A25" s="31" t="s">
        <v>34</v>
      </c>
      <c r="B25" s="31"/>
      <c r="C25" s="31"/>
      <c r="D25" s="31"/>
      <c r="E25" s="31"/>
      <c r="F25" s="31"/>
      <c r="G25" s="31"/>
      <c r="H25" s="32" t="s">
        <v>25</v>
      </c>
      <c r="I25" s="32"/>
      <c r="J25" s="32"/>
      <c r="K25" s="32"/>
      <c r="L25" s="32"/>
      <c r="M25" s="32"/>
      <c r="N25" s="32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x14ac:dyDescent="0.25">
      <c r="A26" s="31"/>
      <c r="B26" s="31"/>
      <c r="C26" s="31"/>
      <c r="D26" s="31"/>
      <c r="E26" s="31"/>
      <c r="F26" s="31"/>
      <c r="G26" s="31"/>
      <c r="H26" s="32"/>
      <c r="I26" s="32"/>
      <c r="J26" s="32"/>
      <c r="K26" s="32"/>
      <c r="L26" s="32"/>
      <c r="M26" s="32"/>
      <c r="N26" s="32"/>
      <c r="O26" s="33" t="s">
        <v>35</v>
      </c>
      <c r="P26" s="33"/>
      <c r="Q26" s="33"/>
      <c r="R26" s="33"/>
      <c r="S26" s="33"/>
      <c r="T26" s="33"/>
      <c r="U26" s="33"/>
      <c r="V26" s="34" t="s">
        <v>36</v>
      </c>
      <c r="W26" s="34"/>
      <c r="X26" s="34"/>
      <c r="Y26" s="35">
        <v>111</v>
      </c>
      <c r="Z26" s="35"/>
      <c r="AA26" s="35"/>
    </row>
    <row r="27" spans="1:27" x14ac:dyDescent="0.25">
      <c r="A27" s="36" t="s">
        <v>37</v>
      </c>
      <c r="B27" s="36"/>
      <c r="C27" s="36"/>
      <c r="D27" s="36"/>
      <c r="E27" s="37" t="s">
        <v>38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39</v>
      </c>
      <c r="S27" s="38"/>
      <c r="T27" s="38" t="s">
        <v>40</v>
      </c>
      <c r="U27" s="38"/>
      <c r="V27" s="38" t="s">
        <v>41</v>
      </c>
      <c r="W27" s="38"/>
      <c r="X27" s="38"/>
      <c r="Y27" s="39" t="s">
        <v>42</v>
      </c>
      <c r="Z27" s="39"/>
      <c r="AA27" s="39"/>
    </row>
    <row r="28" ht="24" customHeight="1" spans="1:27" x14ac:dyDescent="0.25">
      <c r="A28" s="40" t="s">
        <v>43</v>
      </c>
      <c r="B28" s="40"/>
      <c r="C28" s="40"/>
      <c r="D28" s="40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1" t="s">
        <v>44</v>
      </c>
      <c r="S28" s="41"/>
      <c r="T28" s="41" t="s">
        <v>45</v>
      </c>
      <c r="U28" s="41"/>
      <c r="V28" s="41" t="s">
        <v>46</v>
      </c>
      <c r="W28" s="41"/>
      <c r="X28" s="41"/>
      <c r="Y28" s="42" t="s">
        <v>47</v>
      </c>
      <c r="Z28" s="42"/>
      <c r="AA28" s="42"/>
    </row>
    <row r="29" ht="46" customHeight="1" spans="1:27" x14ac:dyDescent="0.25">
      <c r="A29" s="43" t="s">
        <v>48</v>
      </c>
      <c r="B29" s="44" t="s">
        <v>49</v>
      </c>
      <c r="C29" s="44"/>
      <c r="D29" s="44"/>
      <c r="E29" s="45" t="s">
        <v>50</v>
      </c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6"/>
      <c r="S29" s="47"/>
      <c r="T29" s="46"/>
      <c r="U29" s="47"/>
      <c r="V29" s="46"/>
      <c r="W29" s="48"/>
      <c r="X29" s="47"/>
      <c r="Y29" s="46"/>
      <c r="Z29" s="48"/>
      <c r="AA29" s="49"/>
    </row>
    <row r="30" spans="1:27" x14ac:dyDescent="0.25">
      <c r="A30" s="50">
        <v>1</v>
      </c>
      <c r="B30" s="51">
        <v>69101000</v>
      </c>
      <c r="C30" s="51"/>
      <c r="D30" s="51"/>
      <c r="E30" s="52" t="s">
        <v>18</v>
      </c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>
        <v>111</v>
      </c>
      <c r="S30" s="52"/>
      <c r="T30" s="52" t="s">
        <v>45</v>
      </c>
      <c r="U30" s="52"/>
      <c r="V30" s="53">
        <v>13.7297</v>
      </c>
      <c r="W30" s="53"/>
      <c r="X30" s="53"/>
      <c r="Y30" s="54">
        <f>ROUND(R30*V30, 4)</f>
        <v>0</v>
      </c>
      <c r="Z30" s="54"/>
      <c r="AA30" s="54"/>
    </row>
    <row r="31" ht="46" customHeight="1" spans="1:27" x14ac:dyDescent="0.25">
      <c r="A31" s="55"/>
      <c r="B31" s="46"/>
      <c r="C31" s="48"/>
      <c r="D31" s="47"/>
      <c r="E31" s="45" t="s">
        <v>51</v>
      </c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6"/>
      <c r="S31" s="47"/>
      <c r="T31" s="46"/>
      <c r="U31" s="47"/>
      <c r="V31" s="46"/>
      <c r="W31" s="48"/>
      <c r="X31" s="47"/>
      <c r="Y31" s="46"/>
      <c r="Z31" s="48"/>
      <c r="AA31" s="49"/>
    </row>
    <row r="32" spans="1:27" x14ac:dyDescent="0.25">
      <c r="A32" s="50">
        <v>2</v>
      </c>
      <c r="B32" s="51">
        <v>84818020</v>
      </c>
      <c r="C32" s="51"/>
      <c r="D32" s="51"/>
      <c r="E32" s="52" t="s">
        <v>52</v>
      </c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>
        <v>112</v>
      </c>
      <c r="S32" s="52"/>
      <c r="T32" s="52" t="s">
        <v>45</v>
      </c>
      <c r="U32" s="52"/>
      <c r="V32" s="53">
        <v>13.6964</v>
      </c>
      <c r="W32" s="53"/>
      <c r="X32" s="53"/>
      <c r="Y32" s="54">
        <f>ROUND(R32*V32, 4)</f>
        <v>0</v>
      </c>
      <c r="Z32" s="54"/>
      <c r="AA32" s="54"/>
    </row>
    <row r="33" ht="46" customHeight="1" spans="1:27" x14ac:dyDescent="0.25">
      <c r="A33" s="55"/>
      <c r="B33" s="46"/>
      <c r="C33" s="48"/>
      <c r="D33" s="47"/>
      <c r="E33" s="45" t="s">
        <v>53</v>
      </c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6"/>
      <c r="S33" s="47"/>
      <c r="T33" s="46"/>
      <c r="U33" s="47"/>
      <c r="V33" s="46"/>
      <c r="W33" s="48"/>
      <c r="X33" s="47"/>
      <c r="Y33" s="46"/>
      <c r="Z33" s="48"/>
      <c r="AA33" s="49"/>
    </row>
    <row r="34" spans="1:27" x14ac:dyDescent="0.25">
      <c r="A34" s="50">
        <v>3</v>
      </c>
      <c r="B34" s="51">
        <v>84145120</v>
      </c>
      <c r="C34" s="51"/>
      <c r="D34" s="51"/>
      <c r="E34" s="52" t="s">
        <v>54</v>
      </c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>
        <v>122</v>
      </c>
      <c r="S34" s="52"/>
      <c r="T34" s="52" t="s">
        <v>45</v>
      </c>
      <c r="U34" s="52"/>
      <c r="V34" s="53">
        <v>13.3934</v>
      </c>
      <c r="W34" s="53"/>
      <c r="X34" s="53"/>
      <c r="Y34" s="54">
        <f>ROUND(R34*V34, 4)</f>
        <v>0</v>
      </c>
      <c r="Z34" s="54"/>
      <c r="AA34" s="54"/>
    </row>
    <row r="35" ht="46" customHeight="1" spans="1:27" x14ac:dyDescent="0.25">
      <c r="A35" s="55"/>
      <c r="B35" s="46"/>
      <c r="C35" s="48"/>
      <c r="D35" s="47"/>
      <c r="E35" s="45" t="s">
        <v>55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6"/>
      <c r="S35" s="47"/>
      <c r="T35" s="46"/>
      <c r="U35" s="47"/>
      <c r="V35" s="46"/>
      <c r="W35" s="48"/>
      <c r="X35" s="47"/>
      <c r="Y35" s="46"/>
      <c r="Z35" s="48"/>
      <c r="AA35" s="49"/>
    </row>
    <row r="36" spans="1:27" x14ac:dyDescent="0.25">
      <c r="A36" s="50">
        <v>4</v>
      </c>
      <c r="B36" s="51">
        <v>12398769</v>
      </c>
      <c r="C36" s="51"/>
      <c r="D36" s="51"/>
      <c r="E36" s="52" t="s">
        <v>56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>
        <v>1000</v>
      </c>
      <c r="S36" s="52"/>
      <c r="T36" s="52" t="s">
        <v>57</v>
      </c>
      <c r="U36" s="52"/>
      <c r="V36" s="53">
        <v>11.9333</v>
      </c>
      <c r="W36" s="53"/>
      <c r="X36" s="53"/>
      <c r="Y36" s="54">
        <f>ROUND(R36*V36, 4)</f>
        <v>0</v>
      </c>
      <c r="Z36" s="54"/>
      <c r="AA36" s="54"/>
    </row>
    <row r="37" spans="1:27" x14ac:dyDescent="0.25">
      <c r="A37" s="56"/>
      <c r="B37" s="56"/>
      <c r="C37" s="56"/>
      <c r="D37" s="56"/>
      <c r="E37" s="46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7"/>
      <c r="R37" s="46"/>
      <c r="S37" s="47"/>
      <c r="T37" s="46"/>
      <c r="U37" s="47"/>
      <c r="V37" s="46"/>
      <c r="W37" s="48"/>
      <c r="X37" s="47"/>
      <c r="Y37" s="46"/>
      <c r="Z37" s="48"/>
      <c r="AA37" s="49"/>
    </row>
    <row r="38" spans="1:27" x14ac:dyDescent="0.25">
      <c r="A38" s="56"/>
      <c r="B38" s="56"/>
      <c r="C38" s="56"/>
      <c r="D38" s="56"/>
      <c r="E38" s="46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7"/>
      <c r="R38" s="46"/>
      <c r="S38" s="47"/>
      <c r="T38" s="46"/>
      <c r="U38" s="47"/>
      <c r="V38" s="46"/>
      <c r="W38" s="48"/>
      <c r="X38" s="47"/>
      <c r="Y38" s="46"/>
      <c r="Z38" s="48"/>
      <c r="AA38" s="49"/>
    </row>
    <row r="39" spans="1:27" x14ac:dyDescent="0.25">
      <c r="A39" s="56"/>
      <c r="B39" s="56"/>
      <c r="C39" s="56"/>
      <c r="D39" s="56"/>
      <c r="E39" s="57" t="s">
        <v>58</v>
      </c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8"/>
      <c r="T39" s="58"/>
      <c r="U39" s="58"/>
      <c r="V39" s="58"/>
      <c r="W39" s="58"/>
      <c r="X39" s="58"/>
      <c r="Y39" s="59"/>
      <c r="Z39" s="59"/>
      <c r="AA39" s="59"/>
    </row>
    <row r="40" spans="1:27" x14ac:dyDescent="0.25">
      <c r="A40" s="56"/>
      <c r="B40" s="56"/>
      <c r="C40" s="56"/>
      <c r="D40" s="56"/>
      <c r="E40" s="51" t="s">
        <v>59</v>
      </c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8"/>
      <c r="S40" s="58"/>
      <c r="T40" s="58"/>
      <c r="U40" s="58"/>
      <c r="V40" s="58"/>
      <c r="W40" s="58"/>
      <c r="X40" s="58"/>
      <c r="Y40" s="59"/>
      <c r="Z40" s="59"/>
      <c r="AA40" s="59"/>
    </row>
    <row r="41" spans="1:27" x14ac:dyDescent="0.25">
      <c r="A41" s="56"/>
      <c r="B41" s="56"/>
      <c r="C41" s="56"/>
      <c r="D41" s="56"/>
      <c r="E41" s="60" t="s">
        <v>60</v>
      </c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58"/>
      <c r="S41" s="58"/>
      <c r="T41" s="58"/>
      <c r="U41" s="58"/>
      <c r="V41" s="58"/>
      <c r="W41" s="58"/>
      <c r="X41" s="58"/>
      <c r="Y41" s="59"/>
      <c r="Z41" s="59"/>
      <c r="AA41" s="59"/>
    </row>
    <row r="42" spans="1:27" x14ac:dyDescent="0.25">
      <c r="A42" s="56"/>
      <c r="B42" s="56"/>
      <c r="C42" s="56"/>
      <c r="D42" s="56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58"/>
      <c r="S42" s="58"/>
      <c r="T42" s="58"/>
      <c r="U42" s="58"/>
      <c r="V42" s="58"/>
      <c r="W42" s="58"/>
      <c r="X42" s="58"/>
      <c r="Y42" s="59"/>
      <c r="Z42" s="59"/>
      <c r="AA42" s="59"/>
    </row>
    <row r="43" spans="1:27" x14ac:dyDescent="0.25">
      <c r="A43" s="56"/>
      <c r="B43" s="56"/>
      <c r="C43" s="56"/>
      <c r="D43" s="56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9"/>
      <c r="Z43" s="59"/>
      <c r="AA43" s="59"/>
    </row>
    <row r="44" spans="1:27" x14ac:dyDescent="0.25">
      <c r="A44" s="56"/>
      <c r="B44" s="56"/>
      <c r="C44" s="56"/>
      <c r="D44" s="56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9"/>
      <c r="Z44" s="59"/>
      <c r="AA44" s="59"/>
    </row>
    <row r="45" spans="1:27" x14ac:dyDescent="0.25">
      <c r="A45" s="61" t="s">
        <v>61</v>
      </c>
      <c r="B45" s="61"/>
      <c r="C45" s="61"/>
      <c r="D45" s="61"/>
      <c r="E45" s="62" t="s">
        <v>62</v>
      </c>
      <c r="F45" s="62"/>
      <c r="G45" s="62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9"/>
      <c r="Z45" s="59"/>
      <c r="AA45" s="59"/>
    </row>
    <row r="46" spans="1:27" x14ac:dyDescent="0.25">
      <c r="A46" s="61" t="s">
        <v>63</v>
      </c>
      <c r="B46" s="61"/>
      <c r="C46" s="61"/>
      <c r="D46" s="61"/>
      <c r="E46" s="62" t="s">
        <v>62</v>
      </c>
      <c r="F46" s="62"/>
      <c r="G46" s="62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9"/>
      <c r="Z46" s="59"/>
      <c r="AA46" s="59"/>
    </row>
    <row r="47" spans="1:27" x14ac:dyDescent="0.25">
      <c r="A47" s="63" t="s">
        <v>64</v>
      </c>
      <c r="B47" s="63"/>
      <c r="C47" s="63"/>
      <c r="D47" s="63"/>
      <c r="E47" s="63"/>
      <c r="F47" s="63"/>
      <c r="G47" s="63"/>
      <c r="H47" s="44" t="s">
        <v>65</v>
      </c>
      <c r="I47" s="44"/>
      <c r="J47" s="44"/>
      <c r="K47" s="44"/>
      <c r="L47" s="44"/>
      <c r="M47" s="44"/>
      <c r="N47" s="44"/>
      <c r="O47" s="44"/>
      <c r="P47" s="44"/>
      <c r="Q47" s="44"/>
      <c r="R47" s="4">
        <f>ROUND(SUM(R30:R46), 2)</f>
        <v>0</v>
      </c>
      <c r="S47" s="4"/>
      <c r="T47" s="44" t="s">
        <v>40</v>
      </c>
      <c r="U47" s="44"/>
      <c r="V47" s="44" t="s">
        <v>66</v>
      </c>
      <c r="W47" s="44"/>
      <c r="X47" s="44"/>
      <c r="Y47" s="64">
        <f>ROUND(SUM(Y30:Y46), 2)</f>
        <v>0</v>
      </c>
      <c r="Z47" s="64"/>
      <c r="AA47" s="64"/>
    </row>
    <row r="48" spans="1:27" x14ac:dyDescent="0.25">
      <c r="A48" s="65" t="str">
        <f>INT(SUM(R30:R46)) &amp; " BOX"</f>
        <v>0BOX</v>
      </c>
      <c r="B48" s="65"/>
      <c r="C48" s="65"/>
      <c r="D48" s="65"/>
      <c r="E48" s="65"/>
      <c r="F48" s="65"/>
      <c r="G48" s="65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27" t="s">
        <v>45</v>
      </c>
      <c r="S48" s="27"/>
      <c r="T48" s="44" t="s">
        <v>45</v>
      </c>
      <c r="U48" s="44"/>
      <c r="V48" s="44"/>
      <c r="W48" s="44"/>
      <c r="X48" s="44"/>
      <c r="Y48" s="64"/>
      <c r="Z48" s="64"/>
      <c r="AA48" s="64"/>
    </row>
    <row r="49" spans="1:27" x14ac:dyDescent="0.25">
      <c r="A49" s="66" t="s">
        <v>67</v>
      </c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7" t="s">
        <v>68</v>
      </c>
      <c r="S49" s="67"/>
      <c r="T49" s="67"/>
      <c r="U49" s="67"/>
      <c r="V49" s="67"/>
      <c r="W49" s="67"/>
      <c r="X49" s="67"/>
      <c r="Y49" s="68">
        <v>7.31</v>
      </c>
      <c r="Z49" s="68"/>
      <c r="AA49" s="68"/>
    </row>
    <row r="50" spans="1:27" x14ac:dyDescent="0.25">
      <c r="A50" s="69" t="s">
        <v>69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7" t="s">
        <v>70</v>
      </c>
      <c r="S50" s="67"/>
      <c r="T50" s="67"/>
      <c r="U50" s="67"/>
      <c r="V50" s="67"/>
      <c r="W50" s="67"/>
      <c r="X50" s="67"/>
      <c r="Y50" s="68">
        <v>1650</v>
      </c>
      <c r="Z50" s="68"/>
      <c r="AA50" s="68"/>
    </row>
    <row r="51" spans="1:27" x14ac:dyDescent="0.25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7" t="s">
        <v>71</v>
      </c>
      <c r="S51" s="67"/>
      <c r="T51" s="67"/>
      <c r="U51" s="67"/>
      <c r="V51" s="67"/>
      <c r="W51" s="67"/>
      <c r="X51" s="67"/>
      <c r="Y51" s="68">
        <f>ROUND(SUM(Y46:Y47), 4)</f>
        <v>0</v>
      </c>
      <c r="Z51" s="68"/>
      <c r="AA51" s="68"/>
    </row>
    <row r="52" spans="1:27" x14ac:dyDescent="0.25">
      <c r="A52" s="70" t="s">
        <v>72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</row>
    <row r="53" spans="1:27" x14ac:dyDescent="0.25">
      <c r="A53" s="71" t="s">
        <v>73</v>
      </c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</row>
    <row r="54" spans="1:27" x14ac:dyDescent="0.25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</row>
    <row r="55" spans="1:27" x14ac:dyDescent="0.2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72" t="s">
        <v>74</v>
      </c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</row>
    <row r="56" spans="1:27" x14ac:dyDescent="0.25">
      <c r="A56" s="56"/>
      <c r="B56" s="56"/>
      <c r="C56" s="56"/>
      <c r="D56" s="56"/>
      <c r="E56" s="56"/>
      <c r="F56" s="58"/>
      <c r="G56" s="58"/>
      <c r="H56" s="58"/>
      <c r="I56" s="58"/>
      <c r="J56" s="58"/>
      <c r="K56" s="58"/>
      <c r="L56" s="58"/>
      <c r="M56" s="58"/>
      <c r="N56" s="73" t="s">
        <v>75</v>
      </c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</row>
    <row r="57" spans="1:27" x14ac:dyDescent="0.25">
      <c r="A57" s="56"/>
      <c r="B57" s="56"/>
      <c r="C57" s="56"/>
      <c r="D57" s="56"/>
      <c r="E57" s="56"/>
      <c r="F57" s="58"/>
      <c r="G57" s="58"/>
      <c r="H57" s="58"/>
      <c r="I57" s="58"/>
      <c r="J57" s="58"/>
      <c r="K57" s="58"/>
      <c r="L57" s="58"/>
      <c r="M57" s="58"/>
      <c r="N57" s="12"/>
      <c r="AA57" s="74"/>
    </row>
    <row r="58" spans="1:27" x14ac:dyDescent="0.25">
      <c r="A58" s="56"/>
      <c r="B58" s="56"/>
      <c r="C58" s="56"/>
      <c r="D58" s="56"/>
      <c r="E58" s="56"/>
      <c r="F58" s="58"/>
      <c r="G58" s="58"/>
      <c r="H58" s="58"/>
      <c r="I58" s="58"/>
      <c r="J58" s="58"/>
      <c r="K58" s="58"/>
      <c r="L58" s="58"/>
      <c r="M58" s="58"/>
      <c r="N58" s="12"/>
      <c r="AA58" s="74"/>
    </row>
    <row r="59" spans="1:27" x14ac:dyDescent="0.25">
      <c r="A59" s="75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7"/>
      <c r="N59" s="12"/>
      <c r="AA59" s="74"/>
    </row>
    <row r="60" spans="1:27" x14ac:dyDescent="0.25">
      <c r="A60" s="76" t="s">
        <v>76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12"/>
      <c r="AA60" s="74"/>
    </row>
    <row r="61" spans="1:27" x14ac:dyDescent="0.25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7" t="s">
        <v>77</v>
      </c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</row>
  </sheetData>
  <mergeCells count="128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8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E31:Q31"/>
    <mergeCell ref="B32:D32"/>
    <mergeCell ref="E32:Q32"/>
    <mergeCell ref="R32:S32"/>
    <mergeCell ref="T32:U32"/>
    <mergeCell ref="V32:X32"/>
    <mergeCell ref="Y32:AA32"/>
    <mergeCell ref="E33:Q33"/>
    <mergeCell ref="B34:D34"/>
    <mergeCell ref="E34:Q34"/>
    <mergeCell ref="R34:S34"/>
    <mergeCell ref="T34:U34"/>
    <mergeCell ref="V34:X34"/>
    <mergeCell ref="Y34:AA34"/>
    <mergeCell ref="E35:Q35"/>
    <mergeCell ref="B36:D36"/>
    <mergeCell ref="E36:Q36"/>
    <mergeCell ref="R36:S36"/>
    <mergeCell ref="T36:U36"/>
    <mergeCell ref="V36:X36"/>
    <mergeCell ref="Y36:AA36"/>
    <mergeCell ref="A37:D44"/>
    <mergeCell ref="E39:Q39"/>
    <mergeCell ref="R39:S46"/>
    <mergeCell ref="T39:U46"/>
    <mergeCell ref="V39:X46"/>
    <mergeCell ref="Y39:AA46"/>
    <mergeCell ref="E40:Q40"/>
    <mergeCell ref="E41:Q42"/>
    <mergeCell ref="E43:Q44"/>
    <mergeCell ref="A45:D45"/>
    <mergeCell ref="E45:G45"/>
    <mergeCell ref="H45:Q45"/>
    <mergeCell ref="A46:D46"/>
    <mergeCell ref="E46:G46"/>
    <mergeCell ref="H46:Q46"/>
    <mergeCell ref="A47:G47"/>
    <mergeCell ref="H47:Q48"/>
    <mergeCell ref="R47:S47"/>
    <mergeCell ref="T47:U47"/>
    <mergeCell ref="V47:X48"/>
    <mergeCell ref="Y47:AA48"/>
    <mergeCell ref="A48:G48"/>
    <mergeCell ref="R48:S48"/>
    <mergeCell ref="T48:U48"/>
    <mergeCell ref="A49:Q49"/>
    <mergeCell ref="R49:X49"/>
    <mergeCell ref="Y49:AA49"/>
    <mergeCell ref="A50:Q51"/>
    <mergeCell ref="R50:X50"/>
    <mergeCell ref="Y50:AA50"/>
    <mergeCell ref="R51:X51"/>
    <mergeCell ref="Y51:AA51"/>
    <mergeCell ref="A52:AA52"/>
    <mergeCell ref="A53:AA54"/>
    <mergeCell ref="A55:M55"/>
    <mergeCell ref="N55:AA55"/>
    <mergeCell ref="A56:E56"/>
    <mergeCell ref="F56:M56"/>
    <mergeCell ref="N56:AA56"/>
    <mergeCell ref="A57:E57"/>
    <mergeCell ref="F57:M57"/>
    <mergeCell ref="A58:E58"/>
    <mergeCell ref="F58:I58"/>
    <mergeCell ref="J58:M58"/>
    <mergeCell ref="A60:M61"/>
    <mergeCell ref="N61:AA61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2025-08-11T08:52:07Z</dcterms:created>
  <dcterms:modified xsi:type="dcterms:W3CDTF">2025-08-11T08:52:07Z</dcterms:modified>
</cp:coreProperties>
</file>