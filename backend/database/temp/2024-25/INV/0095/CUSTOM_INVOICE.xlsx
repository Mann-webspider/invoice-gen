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<sst xmlns="http://schemas.openxmlformats.org/spreadsheetml/2006/main" count="86" uniqueCount="77">
  <si>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</si>
  <si>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</si>
  <si>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</si>
  <si>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</si>
  <si>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</si>
  <si>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</si>
  <si>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INV/0095/2024-25</t>
  </si>
  <si>
    <t xml:space="preserve">I. E. Code #: AACFZ6694H
PAN No #: AACFZ6694H
GSTIN No #: 24AACFZ6694H1ZP
STATE CODE : 24</t>
  </si>
  <si>
    <t>Dt. 14.08.2025</t>
  </si>
  <si>
    <t>Buyer's Order no. &amp; Date</t>
  </si>
  <si>
    <t>zala    2025-08-13</t>
  </si>
  <si>
    <t>EMAIL:</t>
  </si>
  <si>
    <t>info@zericceramic.com</t>
  </si>
  <si>
    <t>TAX ID:</t>
  </si>
  <si>
    <t>24AACFZ6694H1ZP</t>
  </si>
  <si>
    <t>PO No: zala</t>
  </si>
  <si>
    <t>Consignee:</t>
  </si>
  <si>
    <t>Notify Party # :</t>
  </si>
  <si>
    <t>zala</t>
  </si>
  <si>
    <t>mm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</si>
  <si>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</si>
  <si>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</si>
  <si>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</si>
  <si>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</si>
  <si>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</si>
  <si>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</si>
  <si>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</si>
  <si>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</si>
  <si>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CIF AT USA</t>
  </si>
  <si>
    <t>Terms of Delivery &amp; Payment :-</t>
  </si>
  <si>
    <t>Hazira Port</t>
  </si>
  <si>
    <t>CIF AT Hazira Port PORT</t>
  </si>
  <si>
    <t>Port of Discharge</t>
  </si>
  <si>
    <t>Final Destination</t>
  </si>
  <si>
    <t>asw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</si>
  <si>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</si>
  <si>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</si>
  <si>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</si>
  <si>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</si>
  <si>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</si>
  <si>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</si>
  <si>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</si>
  <si>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</si>
  <si>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</si>
  <si>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10 X 20' FCL</t>
  </si>
  <si>
    <t>PKGS</t>
  </si>
  <si>
    <t>BOX</t>
  </si>
  <si>
    <t>UNIT (USD)</t>
  </si>
  <si>
    <t>IN (USD)</t>
  </si>
  <si>
    <t>SR NO.</t>
  </si>
  <si>
    <t>HSN CODE</t>
  </si>
  <si>
    <t>CERAMIC SANITARYWARE</t>
  </si>
  <si>
    <t>mamama</t>
  </si>
  <si>
    <t>kakak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</si>
  <si>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</si>
  <si>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</si>
  <si>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</si>
  <si>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</si>
  <si>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</si>
  <si>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</si>
  <si>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</si>
  <si>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</si>
  <si>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TWO HUNDRED AND EIGHTY FOUR THOUSAND EIGHT HUNDRED AND FIFTY THREE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</si>
  <si>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</si>
  <si>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</si>
  <si>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DT:05/08/2025</t>
  </si>
  <si>
    <t>SUPPLIER DETAILS :- 1</t>
  </si>
  <si>
    <t>Signature &amp; Date</t>
  </si>
  <si>
    <t>NAME:</t>
  </si>
  <si>
    <t>HOLO SANITARYWARE PRIVATE LIMITED</t>
  </si>
  <si>
    <t>For, ZERIC CERAMICA</t>
  </si>
  <si>
    <t>GSTIN NO.</t>
  </si>
  <si>
    <t>TAX INVOICE NO &amp; DATE:</t>
  </si>
  <si>
    <t>HGJHGHGHJ</t>
  </si>
  <si>
    <t>13.08.2025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</si>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</sst>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 applyAlignment="1">
      <alignment horizontal="center"/>
    </xf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6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31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 t="s">
        <v>37</v>
      </c>
      <c r="W26" s="33"/>
      <c r="X26" s="33"/>
      <c r="Y26" s="34">
        <v>251.89</v>
      </c>
      <c r="Z26" s="34"/>
      <c r="AA26" s="34"/>
    </row>
    <row r="27" spans="1:27" x14ac:dyDescent="0.25">
      <c r="A27" s="35" t="s">
        <v>38</v>
      </c>
      <c r="B27" s="35"/>
      <c r="C27" s="35"/>
      <c r="D27" s="35"/>
      <c r="E27" s="36" t="s">
        <v>39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40</v>
      </c>
      <c r="S27" s="37"/>
      <c r="T27" s="37" t="s">
        <v>41</v>
      </c>
      <c r="U27" s="37"/>
      <c r="V27" s="37" t="s">
        <v>42</v>
      </c>
      <c r="W27" s="37"/>
      <c r="X27" s="37"/>
      <c r="Y27" s="38" t="s">
        <v>43</v>
      </c>
      <c r="Z27" s="38"/>
      <c r="AA27" s="38"/>
    </row>
    <row r="28" ht="24" customHeight="1" spans="1:27" x14ac:dyDescent="0.25">
      <c r="A28" s="39" t="s">
        <v>44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45</v>
      </c>
      <c r="S28" s="40"/>
      <c r="T28" s="40" t="s">
        <v>46</v>
      </c>
      <c r="U28" s="40"/>
      <c r="V28" s="40" t="s">
        <v>47</v>
      </c>
      <c r="W28" s="40"/>
      <c r="X28" s="40"/>
      <c r="Y28" s="41" t="s">
        <v>48</v>
      </c>
      <c r="Z28" s="41"/>
      <c r="AA28" s="41"/>
    </row>
    <row r="29" ht="46" customHeight="1" spans="1:27" x14ac:dyDescent="0.25">
      <c r="A29" s="42" t="s">
        <v>49</v>
      </c>
      <c r="B29" s="43" t="s">
        <v>50</v>
      </c>
      <c r="C29" s="43"/>
      <c r="D29" s="43"/>
      <c r="E29" s="44" t="s">
        <v>51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69101000</v>
      </c>
      <c r="C30" s="50"/>
      <c r="D30" s="50"/>
      <c r="E30" s="51" t="s">
        <v>52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452</v>
      </c>
      <c r="S30" s="51"/>
      <c r="T30" s="52" t="s">
        <v>46</v>
      </c>
      <c r="U30" s="52"/>
      <c r="V30" s="51">
        <v>254</v>
      </c>
      <c r="W30" s="51"/>
      <c r="X30" s="51"/>
      <c r="Y30" s="53">
        <f>ROUND(R30*V30, 2)</f>
        <v>0</v>
      </c>
      <c r="Z30" s="53"/>
      <c r="AA30" s="53"/>
    </row>
    <row r="31" spans="1:27" x14ac:dyDescent="0.25">
      <c r="A31" s="49">
        <v>2</v>
      </c>
      <c r="B31" s="50">
        <v>69101000</v>
      </c>
      <c r="C31" s="50"/>
      <c r="D31" s="50"/>
      <c r="E31" s="51" t="s">
        <v>53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>
        <v>452</v>
      </c>
      <c r="S31" s="51"/>
      <c r="T31" s="52" t="s">
        <v>46</v>
      </c>
      <c r="U31" s="52"/>
      <c r="V31" s="51">
        <v>254</v>
      </c>
      <c r="W31" s="51"/>
      <c r="X31" s="51"/>
      <c r="Y31" s="53">
        <f>ROUND(R31*V31, 2)</f>
        <v>0</v>
      </c>
      <c r="Z31" s="53"/>
      <c r="AA31" s="53"/>
    </row>
    <row r="32" spans="1:27" x14ac:dyDescent="0.25">
      <c r="A32" s="54"/>
      <c r="B32" s="54"/>
      <c r="C32" s="54"/>
      <c r="D32" s="54"/>
      <c r="E32" s="45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6"/>
      <c r="R32" s="45"/>
      <c r="S32" s="46"/>
      <c r="T32" s="45"/>
      <c r="U32" s="46"/>
      <c r="V32" s="45"/>
      <c r="W32" s="47"/>
      <c r="X32" s="46"/>
      <c r="Y32" s="45"/>
      <c r="Z32" s="47"/>
      <c r="AA32" s="48"/>
    </row>
    <row r="33" spans="1:27" x14ac:dyDescent="0.25">
      <c r="A33" s="54"/>
      <c r="B33" s="54"/>
      <c r="C33" s="54"/>
      <c r="D33" s="54"/>
      <c r="E33" s="45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6"/>
      <c r="R33" s="45"/>
      <c r="S33" s="46"/>
      <c r="T33" s="45"/>
      <c r="U33" s="46"/>
      <c r="V33" s="45"/>
      <c r="W33" s="47"/>
      <c r="X33" s="46"/>
      <c r="Y33" s="45"/>
      <c r="Z33" s="47"/>
      <c r="AA33" s="48"/>
    </row>
    <row r="34" spans="1:27" x14ac:dyDescent="0.25">
      <c r="A34" s="54"/>
      <c r="B34" s="54"/>
      <c r="C34" s="54"/>
      <c r="D34" s="54"/>
      <c r="E34" s="45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6"/>
      <c r="R34" s="45"/>
      <c r="S34" s="46"/>
      <c r="T34" s="45"/>
      <c r="U34" s="46"/>
      <c r="V34" s="45"/>
      <c r="W34" s="47"/>
      <c r="X34" s="46"/>
      <c r="Y34" s="45"/>
      <c r="Z34" s="47"/>
      <c r="AA34" s="48"/>
    </row>
    <row r="35" spans="1:27" x14ac:dyDescent="0.25">
      <c r="A35" s="54"/>
      <c r="B35" s="54"/>
      <c r="C35" s="54"/>
      <c r="D35" s="54"/>
      <c r="E35" s="50" t="s">
        <v>54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5"/>
      <c r="S35" s="55"/>
      <c r="T35" s="55"/>
      <c r="U35" s="55"/>
      <c r="V35" s="55"/>
      <c r="W35" s="55"/>
      <c r="X35" s="55"/>
      <c r="Y35" s="56"/>
      <c r="Z35" s="56"/>
      <c r="AA35" s="56"/>
    </row>
    <row r="36" spans="1:27" x14ac:dyDescent="0.25">
      <c r="A36" s="54"/>
      <c r="B36" s="54"/>
      <c r="C36" s="54"/>
      <c r="D36" s="54"/>
      <c r="E36" s="57" t="s">
        <v>55</v>
      </c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5"/>
      <c r="S36" s="55"/>
      <c r="T36" s="55"/>
      <c r="U36" s="55"/>
      <c r="V36" s="55"/>
      <c r="W36" s="55"/>
      <c r="X36" s="55"/>
      <c r="Y36" s="56"/>
      <c r="Z36" s="56"/>
      <c r="AA36" s="56"/>
    </row>
    <row r="37" spans="1:27" x14ac:dyDescent="0.25">
      <c r="A37" s="54"/>
      <c r="B37" s="54"/>
      <c r="C37" s="54"/>
      <c r="D37" s="54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5"/>
      <c r="S37" s="55"/>
      <c r="T37" s="55"/>
      <c r="U37" s="55"/>
      <c r="V37" s="55"/>
      <c r="W37" s="55"/>
      <c r="X37" s="55"/>
      <c r="Y37" s="56"/>
      <c r="Z37" s="56"/>
      <c r="AA37" s="56"/>
    </row>
    <row r="38" spans="1:27" x14ac:dyDescent="0.25">
      <c r="A38" s="54"/>
      <c r="B38" s="54"/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6"/>
      <c r="Z38" s="56"/>
      <c r="AA38" s="56"/>
    </row>
    <row r="39" spans="1:27" x14ac:dyDescent="0.25">
      <c r="A39" s="54"/>
      <c r="B39" s="54"/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6"/>
      <c r="Z39" s="56"/>
      <c r="AA39" s="56"/>
    </row>
    <row r="40" spans="1:27" x14ac:dyDescent="0.25">
      <c r="A40" s="58" t="s">
        <v>56</v>
      </c>
      <c r="B40" s="58"/>
      <c r="C40" s="58"/>
      <c r="D40" s="58"/>
      <c r="E40" s="59">
        <v>152</v>
      </c>
      <c r="F40" s="59"/>
      <c r="G40" s="59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6"/>
      <c r="Z40" s="56"/>
      <c r="AA40" s="56"/>
    </row>
    <row r="41" spans="1:27" x14ac:dyDescent="0.25">
      <c r="A41" s="58" t="s">
        <v>57</v>
      </c>
      <c r="B41" s="58"/>
      <c r="C41" s="58"/>
      <c r="D41" s="58"/>
      <c r="E41" s="59">
        <v>365</v>
      </c>
      <c r="F41" s="59"/>
      <c r="G41" s="59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6"/>
      <c r="Z41" s="56"/>
      <c r="AA41" s="56"/>
    </row>
    <row r="42" spans="1:27" x14ac:dyDescent="0.25">
      <c r="A42" s="60" t="s">
        <v>58</v>
      </c>
      <c r="B42" s="60"/>
      <c r="C42" s="60"/>
      <c r="D42" s="60"/>
      <c r="E42" s="60"/>
      <c r="F42" s="60"/>
      <c r="G42" s="60"/>
      <c r="H42" s="43" t="s">
        <v>59</v>
      </c>
      <c r="I42" s="43"/>
      <c r="J42" s="43"/>
      <c r="K42" s="43"/>
      <c r="L42" s="43"/>
      <c r="M42" s="43"/>
      <c r="N42" s="43"/>
      <c r="O42" s="43"/>
      <c r="P42" s="43"/>
      <c r="Q42" s="43"/>
      <c r="R42" s="4">
        <f>ROUND(SUM(R30:R41), 2)</f>
        <v>0</v>
      </c>
      <c r="S42" s="4"/>
      <c r="T42" s="43" t="s">
        <v>41</v>
      </c>
      <c r="U42" s="43"/>
      <c r="V42" s="43" t="s">
        <v>60</v>
      </c>
      <c r="W42" s="43"/>
      <c r="X42" s="43"/>
      <c r="Y42" s="61">
        <f>ROUND(SUM(Y30:Y41), 2)</f>
        <v>0</v>
      </c>
      <c r="Z42" s="61"/>
      <c r="AA42" s="61"/>
    </row>
    <row r="43" spans="1:27" x14ac:dyDescent="0.25">
      <c r="A43" s="62" t="str">
        <f>INT(SUM(R30:R41)) &amp; " BOX"</f>
        <v>0BOX</v>
      </c>
      <c r="B43" s="62"/>
      <c r="C43" s="62"/>
      <c r="D43" s="62"/>
      <c r="E43" s="62"/>
      <c r="F43" s="62"/>
      <c r="G43" s="62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26" t="s">
        <v>46</v>
      </c>
      <c r="S43" s="26"/>
      <c r="T43" s="43" t="s">
        <v>46</v>
      </c>
      <c r="U43" s="43"/>
      <c r="V43" s="43"/>
      <c r="W43" s="43"/>
      <c r="X43" s="43"/>
      <c r="Y43" s="61"/>
      <c r="Z43" s="61"/>
      <c r="AA43" s="61"/>
    </row>
    <row r="44" spans="1:27" x14ac:dyDescent="0.25">
      <c r="A44" s="63" t="s">
        <v>61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55"/>
      <c r="S44" s="55"/>
      <c r="T44" s="55"/>
      <c r="U44" s="55"/>
      <c r="V44" s="55"/>
      <c r="W44" s="55"/>
      <c r="X44" s="55"/>
      <c r="Y44" s="56"/>
      <c r="Z44" s="56"/>
      <c r="AA44" s="56"/>
    </row>
    <row r="45" spans="1:27" x14ac:dyDescent="0.25">
      <c r="A45" s="64" t="s">
        <v>62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55"/>
      <c r="S45" s="55"/>
      <c r="T45" s="55"/>
      <c r="U45" s="55"/>
      <c r="V45" s="55"/>
      <c r="W45" s="55"/>
      <c r="X45" s="55"/>
      <c r="Y45" s="56"/>
      <c r="Z45" s="56"/>
      <c r="AA45" s="56"/>
    </row>
    <row r="46" spans="1:27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5" t="s">
        <v>63</v>
      </c>
      <c r="S46" s="65"/>
      <c r="T46" s="65"/>
      <c r="U46" s="65"/>
      <c r="V46" s="65"/>
      <c r="W46" s="65"/>
      <c r="X46" s="65"/>
      <c r="Y46" s="66">
        <f>ROUND(SUM(Y28:Y41), 4) + 57.68 + 4596</f>
        <v>0</v>
      </c>
      <c r="Z46" s="66"/>
      <c r="AA46" s="66"/>
    </row>
    <row r="47" spans="1:27" x14ac:dyDescent="0.25">
      <c r="A47" s="67" t="s">
        <v>64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</row>
    <row r="48" spans="1:27" x14ac:dyDescent="0.25">
      <c r="A48" s="68" t="s">
        <v>65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spans="1:27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spans="1:27" x14ac:dyDescent="0.25">
      <c r="A50" s="69" t="s">
        <v>66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70" t="s">
        <v>67</v>
      </c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</row>
    <row r="51" spans="1:27" x14ac:dyDescent="0.25">
      <c r="A51" s="69" t="s">
        <v>68</v>
      </c>
      <c r="B51" s="69"/>
      <c r="C51" s="69"/>
      <c r="D51" s="69"/>
      <c r="E51" s="69"/>
      <c r="F51" s="52" t="s">
        <v>69</v>
      </c>
      <c r="G51" s="52"/>
      <c r="H51" s="52"/>
      <c r="I51" s="52"/>
      <c r="J51" s="52"/>
      <c r="K51" s="52"/>
      <c r="L51" s="52"/>
      <c r="M51" s="52"/>
      <c r="N51" s="71" t="s">
        <v>70</v>
      </c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 spans="1:27" x14ac:dyDescent="0.25">
      <c r="A52" s="69" t="s">
        <v>71</v>
      </c>
      <c r="B52" s="69"/>
      <c r="C52" s="69"/>
      <c r="D52" s="69"/>
      <c r="E52" s="69"/>
      <c r="F52" s="52" t="s">
        <v>14</v>
      </c>
      <c r="G52" s="52"/>
      <c r="H52" s="52"/>
      <c r="I52" s="52"/>
      <c r="J52" s="52"/>
      <c r="K52" s="52"/>
      <c r="L52" s="52"/>
      <c r="M52" s="52"/>
      <c r="N52" s="11"/>
      <c r="AA52" s="72"/>
    </row>
    <row r="53" spans="1:27" x14ac:dyDescent="0.25">
      <c r="A53" s="69" t="s">
        <v>72</v>
      </c>
      <c r="B53" s="69"/>
      <c r="C53" s="69"/>
      <c r="D53" s="69"/>
      <c r="E53" s="69"/>
      <c r="F53" s="73" t="s">
        <v>73</v>
      </c>
      <c r="G53" s="73"/>
      <c r="H53" s="73"/>
      <c r="I53" s="73"/>
      <c r="J53" s="73" t="s">
        <v>74</v>
      </c>
      <c r="K53" s="73"/>
      <c r="L53" s="73"/>
      <c r="M53" s="73"/>
      <c r="N53" s="11"/>
      <c r="AA53" s="72"/>
    </row>
    <row r="54" spans="1:27" x14ac:dyDescent="0.25">
      <c r="A54" s="74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6"/>
      <c r="N54" s="11"/>
      <c r="AA54" s="72"/>
    </row>
    <row r="55" spans="1:27" x14ac:dyDescent="0.25">
      <c r="A55" s="75" t="s">
        <v>75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11"/>
      <c r="AA55" s="72"/>
    </row>
    <row r="56" spans="1:27" x14ac:dyDescent="0.25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6" t="s">
        <v>76</v>
      </c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</sheetData>
  <mergeCells count="112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A32:D39"/>
    <mergeCell ref="E35:Q35"/>
    <mergeCell ref="R35:S41"/>
    <mergeCell ref="T35:U41"/>
    <mergeCell ref="V35:X41"/>
    <mergeCell ref="Y35:AA41"/>
    <mergeCell ref="E36:Q37"/>
    <mergeCell ref="E38:Q39"/>
    <mergeCell ref="A40:D40"/>
    <mergeCell ref="E40:G40"/>
    <mergeCell ref="H40:Q40"/>
    <mergeCell ref="A41:D41"/>
    <mergeCell ref="E41:G41"/>
    <mergeCell ref="H41:Q41"/>
    <mergeCell ref="A42:G42"/>
    <mergeCell ref="H42:Q43"/>
    <mergeCell ref="R42:S42"/>
    <mergeCell ref="T42:U42"/>
    <mergeCell ref="V42:X43"/>
    <mergeCell ref="Y42:AA43"/>
    <mergeCell ref="A43:G43"/>
    <mergeCell ref="R43:S43"/>
    <mergeCell ref="T43:U43"/>
    <mergeCell ref="A44:Q44"/>
    <mergeCell ref="R44:X44"/>
    <mergeCell ref="Y44:AA44"/>
    <mergeCell ref="A45:Q46"/>
    <mergeCell ref="R45:X45"/>
    <mergeCell ref="Y45:AA45"/>
    <mergeCell ref="R46:X46"/>
    <mergeCell ref="Y46:AA46"/>
    <mergeCell ref="A47:AA47"/>
    <mergeCell ref="A48:AA49"/>
    <mergeCell ref="A50:M50"/>
    <mergeCell ref="N50:AA50"/>
    <mergeCell ref="A51:E51"/>
    <mergeCell ref="F51:M51"/>
    <mergeCell ref="N51:AA51"/>
    <mergeCell ref="A52:E52"/>
    <mergeCell ref="F52:M52"/>
    <mergeCell ref="A53:E53"/>
    <mergeCell ref="F53:I53"/>
    <mergeCell ref="J53:M53"/>
    <mergeCell ref="A55:M56"/>
    <mergeCell ref="N56:AA5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2025-08-05T17:43:30Z</dcterms:created>
  <dcterms:modified xsi:type="dcterms:W3CDTF">2025-08-05T17:43:30Z</dcterms:modified>
</cp:coreProperties>
</file>