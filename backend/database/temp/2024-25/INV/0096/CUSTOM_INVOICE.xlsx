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<sst xmlns="http://schemas.openxmlformats.org/spreadsheetml/2006/main" count="91" uniqueCount="78">
  <si>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</si>
  <si>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</si>
  <si>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</si>
  <si>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</si>
  <si>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</si>
  <si>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</si>
  <si>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INV/0096/2024-25</t>
  </si>
  <si>
    <t xml:space="preserve">I. E. Code #: AACFZ6694H
PAN No #: AACFZ6694H
GSTIN No #: 24AACFZ6694H1ZP
STATE CODE : 24</t>
  </si>
  <si>
    <t>Dt. 06.08.2025</t>
  </si>
  <si>
    <t>Buyer's Order no. &amp; Date</t>
  </si>
  <si>
    <t>zala    2025-08-07</t>
  </si>
  <si>
    <t>EMAIL:</t>
  </si>
  <si>
    <t>info@zericceramic.com</t>
  </si>
  <si>
    <t>TAX ID:</t>
  </si>
  <si>
    <t>24AACFZ6694H1ZP</t>
  </si>
  <si>
    <t>PO No: zala</t>
  </si>
  <si>
    <t>Consignee:</t>
  </si>
  <si>
    <t>Notify Party # :</t>
  </si>
  <si>
    <t>zala</t>
  </si>
  <si>
    <t>ll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</si>
  <si>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</si>
  <si>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</si>
  <si>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</si>
  <si>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</si>
  <si>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</si>
  <si>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</si>
  <si>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</si>
  <si>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</si>
  <si>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FOB AT Hazira Port PORT</t>
  </si>
  <si>
    <t>Terms of Delivery &amp; Payment :-</t>
  </si>
  <si>
    <t>Hazira Port</t>
  </si>
  <si>
    <t>Port of Discharge</t>
  </si>
  <si>
    <t>Final Destination</t>
  </si>
  <si>
    <t>as</t>
  </si>
  <si>
    <t>Cat Lai Port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</si>
  <si>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</si>
  <si>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</si>
  <si>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</si>
  <si>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</si>
  <si>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</si>
  <si>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</si>
  <si>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</si>
  <si>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</si>
  <si>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10 X 20' FCL</t>
  </si>
  <si>
    <t>PKGS</t>
  </si>
  <si>
    <t>BOX</t>
  </si>
  <si>
    <t>UNIT (USD)</t>
  </si>
  <si>
    <t>IN (USD)</t>
  </si>
  <si>
    <t>SR NO.</t>
  </si>
  <si>
    <t>HSN CODE</t>
  </si>
  <si>
    <t>CERAMIC SANITARYWARE</t>
  </si>
  <si>
    <t>asxz</t>
  </si>
  <si>
    <t>llk</t>
  </si>
  <si>
    <t>BATH WARE</t>
  </si>
  <si>
    <t>a,zxx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</si>
  <si>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</si>
  <si>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</si>
  <si>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</si>
  <si>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-</t>
  </si>
  <si>
    <t xml:space="preserve">GROSS WT.(KGS): </t>
  </si>
  <si>
    <t>Nos. of Kind Packages</t>
  </si>
  <si>
    <t>Total     &gt;&gt;&gt;&gt;&gt;&gt;&gt;&gt;&gt;&gt;</t>
  </si>
  <si>
    <t>TOTAL FOB USD</t>
  </si>
  <si>
    <t>TOTAL FOB USD:</t>
  </si>
  <si>
    <t>FOUR MILLION ONE HUNDRED AND FIFTY SEVEN THOUSAND ONE HUNDRED AND NINETY EIGHT ONLY.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</si>
  <si>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</si>
  <si>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DT:05/08/2025</t>
  </si>
  <si>
    <t>SUPPLIER DETAILS :- 1</t>
  </si>
  <si>
    <t>Signature &amp; Date</t>
  </si>
  <si>
    <t>NAME:</t>
  </si>
  <si>
    <t>HOLO SANITARYWARE PRIVATE LIMITED</t>
  </si>
  <si>
    <t>For, ZERIC CERAMICA</t>
  </si>
  <si>
    <t>GSTIN NO.</t>
  </si>
  <si>
    <t>TAX INVOICE NO &amp; DATE:</t>
  </si>
  <si>
    <t>Tax-2579754mhf</t>
  </si>
  <si>
    <t>20.08.2025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</si>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</sst>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0" fillId="0" borderId="25" xfId="0" applyBorder="1"/>
    <xf numFmtId="0" fontId="4" fillId="0" borderId="6" xfId="0" applyFont="1" applyBorder="1"/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6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4" fillId="2" borderId="26" xfId="0" applyFont="1" applyFill="1" applyBorder="1" applyAlignment="1">
      <alignment horizontal="center"/>
    </xf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52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30</v>
      </c>
      <c r="I23" s="25"/>
      <c r="J23" s="25"/>
      <c r="K23" s="25"/>
      <c r="L23" s="25"/>
      <c r="M23" s="25"/>
      <c r="N23" s="25"/>
      <c r="O23" s="28" t="s">
        <v>28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31</v>
      </c>
      <c r="B24" s="21"/>
      <c r="C24" s="21"/>
      <c r="D24" s="21"/>
      <c r="E24" s="21"/>
      <c r="F24" s="21"/>
      <c r="G24" s="21"/>
      <c r="H24" s="22" t="s">
        <v>32</v>
      </c>
      <c r="I24" s="22"/>
      <c r="J24" s="22"/>
      <c r="K24" s="22"/>
      <c r="L24" s="22"/>
      <c r="M24" s="22"/>
      <c r="N24" s="22"/>
      <c r="O24" s="29" t="s">
        <v>33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34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35</v>
      </c>
      <c r="P26" s="32"/>
      <c r="Q26" s="32"/>
      <c r="R26" s="32"/>
      <c r="S26" s="32"/>
      <c r="T26" s="32"/>
      <c r="U26" s="32"/>
      <c r="V26" s="33" t="s">
        <v>36</v>
      </c>
      <c r="W26" s="33"/>
      <c r="X26" s="33"/>
      <c r="Y26" s="34">
        <v>21.3</v>
      </c>
      <c r="Z26" s="34"/>
      <c r="AA26" s="34"/>
    </row>
    <row r="27" spans="1:27" x14ac:dyDescent="0.25">
      <c r="A27" s="35" t="s">
        <v>37</v>
      </c>
      <c r="B27" s="35"/>
      <c r="C27" s="35"/>
      <c r="D27" s="35"/>
      <c r="E27" s="36" t="s">
        <v>38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7" t="s">
        <v>39</v>
      </c>
      <c r="S27" s="37"/>
      <c r="T27" s="37" t="s">
        <v>40</v>
      </c>
      <c r="U27" s="37"/>
      <c r="V27" s="37" t="s">
        <v>41</v>
      </c>
      <c r="W27" s="37"/>
      <c r="X27" s="37"/>
      <c r="Y27" s="38" t="s">
        <v>42</v>
      </c>
      <c r="Z27" s="38"/>
      <c r="AA27" s="38"/>
    </row>
    <row r="28" ht="24" customHeight="1" spans="1:27" x14ac:dyDescent="0.25">
      <c r="A28" s="39" t="s">
        <v>43</v>
      </c>
      <c r="B28" s="39"/>
      <c r="C28" s="39"/>
      <c r="D28" s="39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40" t="s">
        <v>44</v>
      </c>
      <c r="S28" s="40"/>
      <c r="T28" s="40" t="s">
        <v>45</v>
      </c>
      <c r="U28" s="40"/>
      <c r="V28" s="40" t="s">
        <v>46</v>
      </c>
      <c r="W28" s="40"/>
      <c r="X28" s="40"/>
      <c r="Y28" s="41" t="s">
        <v>47</v>
      </c>
      <c r="Z28" s="41"/>
      <c r="AA28" s="41"/>
    </row>
    <row r="29" ht="46" customHeight="1" spans="1:27" x14ac:dyDescent="0.25">
      <c r="A29" s="42" t="s">
        <v>48</v>
      </c>
      <c r="B29" s="43" t="s">
        <v>49</v>
      </c>
      <c r="C29" s="43"/>
      <c r="D29" s="43"/>
      <c r="E29" s="44" t="s">
        <v>50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5"/>
      <c r="U29" s="46"/>
      <c r="V29" s="45"/>
      <c r="W29" s="47"/>
      <c r="X29" s="46"/>
      <c r="Y29" s="45"/>
      <c r="Z29" s="47"/>
      <c r="AA29" s="48"/>
    </row>
    <row r="30" spans="1:27" x14ac:dyDescent="0.25">
      <c r="A30" s="49">
        <v>1</v>
      </c>
      <c r="B30" s="50">
        <v>69101000</v>
      </c>
      <c r="C30" s="50"/>
      <c r="D30" s="50"/>
      <c r="E30" s="51" t="s">
        <v>51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>
        <v>125</v>
      </c>
      <c r="S30" s="51"/>
      <c r="T30" s="52" t="s">
        <v>45</v>
      </c>
      <c r="U30" s="52"/>
      <c r="V30" s="51">
        <v>1452</v>
      </c>
      <c r="W30" s="51"/>
      <c r="X30" s="51"/>
      <c r="Y30" s="53">
        <f>ROUND(R30*V30, 2)</f>
        <v>0</v>
      </c>
      <c r="Z30" s="53"/>
      <c r="AA30" s="53"/>
    </row>
    <row r="31" spans="1:27" x14ac:dyDescent="0.25">
      <c r="A31" s="49">
        <v>2</v>
      </c>
      <c r="B31" s="50">
        <v>69101000</v>
      </c>
      <c r="C31" s="50"/>
      <c r="D31" s="50"/>
      <c r="E31" s="51" t="s">
        <v>52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>
        <v>1542</v>
      </c>
      <c r="S31" s="51"/>
      <c r="T31" s="52" t="s">
        <v>45</v>
      </c>
      <c r="U31" s="52"/>
      <c r="V31" s="51">
        <v>2514</v>
      </c>
      <c r="W31" s="51"/>
      <c r="X31" s="51"/>
      <c r="Y31" s="53">
        <f>ROUND(R31*V31, 2)</f>
        <v>0</v>
      </c>
      <c r="Z31" s="53"/>
      <c r="AA31" s="53"/>
    </row>
    <row r="32" ht="46" customHeight="1" spans="1:27" x14ac:dyDescent="0.25">
      <c r="A32" s="54"/>
      <c r="B32" s="45"/>
      <c r="C32" s="47"/>
      <c r="D32" s="46"/>
      <c r="E32" s="44" t="s">
        <v>53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  <c r="S32" s="46"/>
      <c r="T32" s="45"/>
      <c r="U32" s="46"/>
      <c r="V32" s="45"/>
      <c r="W32" s="47"/>
      <c r="X32" s="46"/>
      <c r="Y32" s="45"/>
      <c r="Z32" s="47"/>
      <c r="AA32" s="48"/>
    </row>
    <row r="33" spans="1:27" x14ac:dyDescent="0.25">
      <c r="A33" s="49">
        <v>3</v>
      </c>
      <c r="B33" s="50">
        <v>84818020</v>
      </c>
      <c r="C33" s="50"/>
      <c r="D33" s="50"/>
      <c r="E33" s="51" t="s">
        <v>54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>
        <v>125</v>
      </c>
      <c r="S33" s="51"/>
      <c r="T33" s="52" t="s">
        <v>45</v>
      </c>
      <c r="U33" s="52"/>
      <c r="V33" s="51">
        <v>154</v>
      </c>
      <c r="W33" s="51"/>
      <c r="X33" s="51"/>
      <c r="Y33" s="53">
        <f>ROUND(R33*V33, 2)</f>
        <v>0</v>
      </c>
      <c r="Z33" s="53"/>
      <c r="AA33" s="53"/>
    </row>
    <row r="34" spans="1:27" x14ac:dyDescent="0.25">
      <c r="A34" s="55"/>
      <c r="B34" s="55"/>
      <c r="C34" s="55"/>
      <c r="D34" s="55"/>
      <c r="E34" s="45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6"/>
      <c r="R34" s="45"/>
      <c r="S34" s="46"/>
      <c r="T34" s="45"/>
      <c r="U34" s="46"/>
      <c r="V34" s="45"/>
      <c r="W34" s="47"/>
      <c r="X34" s="46"/>
      <c r="Y34" s="45"/>
      <c r="Z34" s="47"/>
      <c r="AA34" s="48"/>
    </row>
    <row r="35" spans="1:27" x14ac:dyDescent="0.25">
      <c r="A35" s="55"/>
      <c r="B35" s="55"/>
      <c r="C35" s="55"/>
      <c r="D35" s="55"/>
      <c r="E35" s="45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6"/>
      <c r="R35" s="45"/>
      <c r="S35" s="46"/>
      <c r="T35" s="45"/>
      <c r="U35" s="46"/>
      <c r="V35" s="45"/>
      <c r="W35" s="47"/>
      <c r="X35" s="46"/>
      <c r="Y35" s="45"/>
      <c r="Z35" s="47"/>
      <c r="AA35" s="48"/>
    </row>
    <row r="36" spans="1:27" x14ac:dyDescent="0.25">
      <c r="A36" s="55"/>
      <c r="B36" s="55"/>
      <c r="C36" s="55"/>
      <c r="D36" s="55"/>
      <c r="E36" s="45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6"/>
      <c r="R36" s="45"/>
      <c r="S36" s="46"/>
      <c r="T36" s="45"/>
      <c r="U36" s="46"/>
      <c r="V36" s="45"/>
      <c r="W36" s="47"/>
      <c r="X36" s="46"/>
      <c r="Y36" s="45"/>
      <c r="Z36" s="47"/>
      <c r="AA36" s="48"/>
    </row>
    <row r="37" spans="1:27" x14ac:dyDescent="0.25">
      <c r="A37" s="55"/>
      <c r="B37" s="55"/>
      <c r="C37" s="55"/>
      <c r="D37" s="55"/>
      <c r="E37" s="50" t="s">
        <v>55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6"/>
      <c r="S37" s="56"/>
      <c r="T37" s="56"/>
      <c r="U37" s="56"/>
      <c r="V37" s="56"/>
      <c r="W37" s="56"/>
      <c r="X37" s="56"/>
      <c r="Y37" s="57"/>
      <c r="Z37" s="57"/>
      <c r="AA37" s="57"/>
    </row>
    <row r="38" spans="1:27" x14ac:dyDescent="0.25">
      <c r="A38" s="55"/>
      <c r="B38" s="55"/>
      <c r="C38" s="55"/>
      <c r="D38" s="55"/>
      <c r="E38" s="58" t="s">
        <v>56</v>
      </c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6"/>
      <c r="S38" s="56"/>
      <c r="T38" s="56"/>
      <c r="U38" s="56"/>
      <c r="V38" s="56"/>
      <c r="W38" s="56"/>
      <c r="X38" s="56"/>
      <c r="Y38" s="57"/>
      <c r="Z38" s="57"/>
      <c r="AA38" s="57"/>
    </row>
    <row r="39" spans="1:27" x14ac:dyDescent="0.25">
      <c r="A39" s="55"/>
      <c r="B39" s="55"/>
      <c r="C39" s="55"/>
      <c r="D39" s="55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6"/>
      <c r="S39" s="56"/>
      <c r="T39" s="56"/>
      <c r="U39" s="56"/>
      <c r="V39" s="56"/>
      <c r="W39" s="56"/>
      <c r="X39" s="56"/>
      <c r="Y39" s="57"/>
      <c r="Z39" s="57"/>
      <c r="AA39" s="57"/>
    </row>
    <row r="40" spans="1:27" x14ac:dyDescent="0.25">
      <c r="A40" s="55"/>
      <c r="B40" s="55"/>
      <c r="C40" s="55"/>
      <c r="D40" s="55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7"/>
      <c r="Z40" s="57"/>
      <c r="AA40" s="57"/>
    </row>
    <row r="41" spans="1:27" x14ac:dyDescent="0.25">
      <c r="A41" s="55"/>
      <c r="B41" s="55"/>
      <c r="C41" s="55"/>
      <c r="D41" s="55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7"/>
      <c r="Z41" s="57"/>
      <c r="AA41" s="57"/>
    </row>
    <row r="42" spans="1:27" x14ac:dyDescent="0.25">
      <c r="A42" s="59" t="s">
        <v>57</v>
      </c>
      <c r="B42" s="59"/>
      <c r="C42" s="59"/>
      <c r="D42" s="59"/>
      <c r="E42" s="60" t="s">
        <v>58</v>
      </c>
      <c r="F42" s="60"/>
      <c r="G42" s="60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7"/>
      <c r="Z42" s="57"/>
      <c r="AA42" s="57"/>
    </row>
    <row r="43" spans="1:27" x14ac:dyDescent="0.25">
      <c r="A43" s="59" t="s">
        <v>59</v>
      </c>
      <c r="B43" s="59"/>
      <c r="C43" s="59"/>
      <c r="D43" s="59"/>
      <c r="E43" s="60" t="s">
        <v>58</v>
      </c>
      <c r="F43" s="60"/>
      <c r="G43" s="60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7"/>
      <c r="Z43" s="57"/>
      <c r="AA43" s="57"/>
    </row>
    <row r="44" spans="1:27" x14ac:dyDescent="0.25">
      <c r="A44" s="61" t="s">
        <v>60</v>
      </c>
      <c r="B44" s="61"/>
      <c r="C44" s="61"/>
      <c r="D44" s="61"/>
      <c r="E44" s="61"/>
      <c r="F44" s="61"/>
      <c r="G44" s="61"/>
      <c r="H44" s="43" t="s">
        <v>61</v>
      </c>
      <c r="I44" s="43"/>
      <c r="J44" s="43"/>
      <c r="K44" s="43"/>
      <c r="L44" s="43"/>
      <c r="M44" s="43"/>
      <c r="N44" s="43"/>
      <c r="O44" s="43"/>
      <c r="P44" s="43"/>
      <c r="Q44" s="43"/>
      <c r="R44" s="4">
        <f>ROUND(SUM(R30:R43), 2)</f>
        <v>0</v>
      </c>
      <c r="S44" s="4"/>
      <c r="T44" s="43" t="s">
        <v>40</v>
      </c>
      <c r="U44" s="43"/>
      <c r="V44" s="43" t="s">
        <v>62</v>
      </c>
      <c r="W44" s="43"/>
      <c r="X44" s="43"/>
      <c r="Y44" s="62">
        <f>ROUND(SUM(Y30:Y43), 2)</f>
        <v>0</v>
      </c>
      <c r="Z44" s="62"/>
      <c r="AA44" s="62"/>
    </row>
    <row r="45" spans="1:27" x14ac:dyDescent="0.25">
      <c r="A45" s="63" t="str">
        <f>INT(SUM(R30:R43)) &amp; " BOX"</f>
        <v>0BOX</v>
      </c>
      <c r="B45" s="63"/>
      <c r="C45" s="63"/>
      <c r="D45" s="63"/>
      <c r="E45" s="63"/>
      <c r="F45" s="63"/>
      <c r="G45" s="6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26" t="s">
        <v>45</v>
      </c>
      <c r="S45" s="26"/>
      <c r="T45" s="43" t="s">
        <v>45</v>
      </c>
      <c r="U45" s="43"/>
      <c r="V45" s="43"/>
      <c r="W45" s="43"/>
      <c r="X45" s="43"/>
      <c r="Y45" s="62"/>
      <c r="Z45" s="62"/>
      <c r="AA45" s="62"/>
    </row>
    <row r="46" spans="1:27" x14ac:dyDescent="0.25">
      <c r="A46" s="64" t="s">
        <v>63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56"/>
      <c r="S46" s="56"/>
      <c r="T46" s="56"/>
      <c r="U46" s="56"/>
      <c r="V46" s="56"/>
      <c r="W46" s="56"/>
      <c r="X46" s="56"/>
      <c r="Y46" s="57"/>
      <c r="Z46" s="57"/>
      <c r="AA46" s="57"/>
    </row>
    <row r="47" spans="1:27" x14ac:dyDescent="0.25">
      <c r="A47" s="65" t="s">
        <v>64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56"/>
      <c r="S47" s="56"/>
      <c r="T47" s="56"/>
      <c r="U47" s="56"/>
      <c r="V47" s="56"/>
      <c r="W47" s="56"/>
      <c r="X47" s="56"/>
      <c r="Y47" s="57"/>
      <c r="Z47" s="57"/>
      <c r="AA47" s="57"/>
    </row>
    <row r="48" spans="1:27" x14ac:dyDescent="0.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6" t="s">
        <v>62</v>
      </c>
      <c r="S48" s="66"/>
      <c r="T48" s="66"/>
      <c r="U48" s="66"/>
      <c r="V48" s="66"/>
      <c r="W48" s="66"/>
      <c r="X48" s="66"/>
      <c r="Y48" s="67">
        <f>ROUND(SUM(Y28:Y43), 4) + 1821.52 + -</f>
        <v>0</v>
      </c>
      <c r="Z48" s="67"/>
      <c r="AA48" s="67"/>
    </row>
    <row r="49" spans="1:27" x14ac:dyDescent="0.25">
      <c r="A49" s="68" t="s">
        <v>65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 spans="1:27" x14ac:dyDescent="0.25">
      <c r="A50" s="69" t="s">
        <v>66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</row>
    <row r="51" spans="1:27" x14ac:dyDescent="0.2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</row>
    <row r="52" spans="1:27" x14ac:dyDescent="0.25">
      <c r="A52" s="70" t="s">
        <v>67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1" t="s">
        <v>68</v>
      </c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</row>
    <row r="53" spans="1:27" x14ac:dyDescent="0.25">
      <c r="A53" s="70" t="s">
        <v>69</v>
      </c>
      <c r="B53" s="70"/>
      <c r="C53" s="70"/>
      <c r="D53" s="70"/>
      <c r="E53" s="70"/>
      <c r="F53" s="52" t="s">
        <v>70</v>
      </c>
      <c r="G53" s="52"/>
      <c r="H53" s="52"/>
      <c r="I53" s="52"/>
      <c r="J53" s="52"/>
      <c r="K53" s="52"/>
      <c r="L53" s="52"/>
      <c r="M53" s="52"/>
      <c r="N53" s="72" t="s">
        <v>71</v>
      </c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 spans="1:27" x14ac:dyDescent="0.25">
      <c r="A54" s="70" t="s">
        <v>72</v>
      </c>
      <c r="B54" s="70"/>
      <c r="C54" s="70"/>
      <c r="D54" s="70"/>
      <c r="E54" s="70"/>
      <c r="F54" s="52" t="s">
        <v>14</v>
      </c>
      <c r="G54" s="52"/>
      <c r="H54" s="52"/>
      <c r="I54" s="52"/>
      <c r="J54" s="52"/>
      <c r="K54" s="52"/>
      <c r="L54" s="52"/>
      <c r="M54" s="52"/>
      <c r="N54" s="11"/>
      <c r="AA54" s="73"/>
    </row>
    <row r="55" spans="1:27" x14ac:dyDescent="0.25">
      <c r="A55" s="70" t="s">
        <v>73</v>
      </c>
      <c r="B55" s="70"/>
      <c r="C55" s="70"/>
      <c r="D55" s="70"/>
      <c r="E55" s="70"/>
      <c r="F55" s="74" t="s">
        <v>74</v>
      </c>
      <c r="G55" s="74"/>
      <c r="H55" s="74"/>
      <c r="I55" s="74"/>
      <c r="J55" s="74" t="s">
        <v>75</v>
      </c>
      <c r="K55" s="74"/>
      <c r="L55" s="74"/>
      <c r="M55" s="74"/>
      <c r="N55" s="11"/>
      <c r="AA55" s="73"/>
    </row>
    <row r="56" spans="1:27" x14ac:dyDescent="0.25">
      <c r="A56" s="75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6"/>
      <c r="N56" s="11"/>
      <c r="AA56" s="73"/>
    </row>
    <row r="57" spans="1:27" x14ac:dyDescent="0.25">
      <c r="A57" s="76" t="s">
        <v>76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11"/>
      <c r="AA57" s="73"/>
    </row>
    <row r="58" spans="1:27" x14ac:dyDescent="0.25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7" t="s">
        <v>77</v>
      </c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</row>
  </sheetData>
  <mergeCells count="119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E32:Q32"/>
    <mergeCell ref="B33:D33"/>
    <mergeCell ref="E33:Q33"/>
    <mergeCell ref="R33:S33"/>
    <mergeCell ref="T33:U33"/>
    <mergeCell ref="V33:X33"/>
    <mergeCell ref="Y33:AA33"/>
    <mergeCell ref="A34:D41"/>
    <mergeCell ref="E37:Q37"/>
    <mergeCell ref="R37:S43"/>
    <mergeCell ref="T37:U43"/>
    <mergeCell ref="V37:X43"/>
    <mergeCell ref="Y37:AA43"/>
    <mergeCell ref="E38:Q39"/>
    <mergeCell ref="E40:Q41"/>
    <mergeCell ref="A42:D42"/>
    <mergeCell ref="E42:G42"/>
    <mergeCell ref="H42:Q42"/>
    <mergeCell ref="A43:D43"/>
    <mergeCell ref="E43:G43"/>
    <mergeCell ref="H43:Q43"/>
    <mergeCell ref="A44:G44"/>
    <mergeCell ref="H44:Q45"/>
    <mergeCell ref="R44:S44"/>
    <mergeCell ref="T44:U44"/>
    <mergeCell ref="V44:X45"/>
    <mergeCell ref="Y44:AA45"/>
    <mergeCell ref="A45:G45"/>
    <mergeCell ref="R45:S45"/>
    <mergeCell ref="T45:U45"/>
    <mergeCell ref="A46:Q46"/>
    <mergeCell ref="R46:X46"/>
    <mergeCell ref="Y46:AA46"/>
    <mergeCell ref="A47:Q48"/>
    <mergeCell ref="R47:X47"/>
    <mergeCell ref="Y47:AA47"/>
    <mergeCell ref="R48:X48"/>
    <mergeCell ref="Y48:AA48"/>
    <mergeCell ref="A49:AA49"/>
    <mergeCell ref="A50:AA51"/>
    <mergeCell ref="A52:M52"/>
    <mergeCell ref="N52:AA52"/>
    <mergeCell ref="A53:E53"/>
    <mergeCell ref="F53:M53"/>
    <mergeCell ref="N53:AA53"/>
    <mergeCell ref="A54:E54"/>
    <mergeCell ref="F54:M54"/>
    <mergeCell ref="A55:E55"/>
    <mergeCell ref="F55:I55"/>
    <mergeCell ref="J55:M55"/>
    <mergeCell ref="A57:M58"/>
    <mergeCell ref="N58:AA58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2025-08-05T18:50:29Z</dcterms:created>
  <dcterms:modified xsi:type="dcterms:W3CDTF">2025-08-05T18:50:29Z</dcterms:modified>
</cp:coreProperties>
</file>