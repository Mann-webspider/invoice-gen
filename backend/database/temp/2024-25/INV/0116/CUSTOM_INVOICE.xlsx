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<sst xmlns="http://schemas.openxmlformats.org/spreadsheetml/2006/main" count="124" uniqueCount="104">
  <si>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</si>
  <si>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</si>
  <si>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</si>
  <si>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</si>
  <si>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</si>
  <si>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</si>
  <si>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INV/0116/2024-25</t>
  </si>
  <si>
    <t xml:space="preserve">I. E. Code #: AACFZ6694H
PAN No #: AACFZ6694H
GSTIN No #: 24AACFZ6694H1ZP
STATE CODE : 24</t>
  </si>
  <si>
    <t>Dt. 5/5/2025</t>
  </si>
  <si>
    <t>Buyer's Order no. &amp; Date</t>
  </si>
  <si>
    <t>Exp/0127/2024-25    13/03/2025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</si>
  <si>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</si>
  <si>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</si>
  <si>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</si>
  <si>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</si>
  <si>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</si>
  <si>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</si>
  <si>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</si>
  <si>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</si>
  <si>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 xml:space="preserve">AL -A. AL -A. TRAD. OMAN
M. S. Y. Q. A. T. E. O. OMAN
D.B. H. B. B. SINGAPORE</t>
  </si>
  <si>
    <t>Pre-Carriage By</t>
  </si>
  <si>
    <t>Place of Receipt by Pre-Carrier</t>
  </si>
  <si>
    <r>
      <rPr/>
      <t xml:space="preserve">Country of Origin of Goods : </t>
    </r>
    <r>
      <rPr>
        <b/>
      </rPr>
      <t>-</t>
    </r>
  </si>
  <si>
    <t>Country of Final Destination</t>
  </si>
  <si>
    <t/>
  </si>
  <si>
    <t>MORBI</t>
  </si>
  <si>
    <t>ORIGIN : -</t>
  </si>
  <si>
    <t>OMAN</t>
  </si>
  <si>
    <t>Vessel Flight No.</t>
  </si>
  <si>
    <t>Port of Loading</t>
  </si>
  <si>
    <t>Terms of Delivery &amp; Payment :-</t>
  </si>
  <si>
    <t>MUNDRA</t>
  </si>
  <si>
    <t>CIF AT SALALAH PORT</t>
  </si>
  <si>
    <t>Port of Discharge</t>
  </si>
  <si>
    <t>Final Destination</t>
  </si>
  <si>
    <t>PAYMENT : 9000 USD ADVANCE AND REMAINING AGAINST SCAN OF BL</t>
  </si>
  <si>
    <t>SALALAH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</si>
  <si>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</si>
  <si>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</si>
  <si>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</si>
  <si>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</si>
  <si>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</si>
  <si>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</si>
  <si>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</si>
  <si>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</si>
  <si>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</si>
  <si>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</si>
  <si>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</si>
  <si>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 X 40' FCL</t>
  </si>
  <si>
    <t>MM</t>
  </si>
  <si>
    <t>BOX/DRUM/PIECES</t>
  </si>
  <si>
    <t>SQM</t>
  </si>
  <si>
    <t>IN (USD)</t>
  </si>
  <si>
    <t>SR NO.</t>
  </si>
  <si>
    <t>HSN CODE</t>
  </si>
  <si>
    <t>GLAZED PORCELAIN SLAB TILES</t>
  </si>
  <si>
    <t>ASCIA WHITE POLISHED</t>
  </si>
  <si>
    <t>80 X 240</t>
  </si>
  <si>
    <t>BOX</t>
  </si>
  <si>
    <t>STATURIO ICE POLISHED</t>
  </si>
  <si>
    <t>ELECTRIC CABLE</t>
  </si>
  <si>
    <t>H07RN-F Type 3 CORE with 35mm COPPER CABLE</t>
  </si>
  <si>
    <t>-</t>
  </si>
  <si>
    <t>DRUM</t>
  </si>
  <si>
    <t>PVC PIPE</t>
  </si>
  <si>
    <t>113MM Super Heavy Duty Pipes With Pressure 36 Kg ( Coupler Length 250mm ) ( 3 Mtr )</t>
  </si>
  <si>
    <t>PIECES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</si>
  <si>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</si>
  <si>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</si>
  <si>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</si>
  <si>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27366</t>
  </si>
  <si>
    <t xml:space="preserve">GROSS WT.(KGS): </t>
  </si>
  <si>
    <t>27930</t>
  </si>
  <si>
    <t>Nos. of Kind Packages</t>
  </si>
  <si>
    <t>Total     &gt;&gt;&gt;&gt;&gt;&gt;&gt;&gt;&gt;&gt;</t>
  </si>
  <si>
    <t>TOTAL SQM</t>
  </si>
  <si>
    <t>CIF USD</t>
  </si>
  <si>
    <t>TOTAL CIF USD:</t>
  </si>
  <si>
    <t>INSURANCE</t>
  </si>
  <si>
    <t>THIRTY THOUSAND FIVE HUNDRED AND FOUR ONLY.</t>
  </si>
  <si>
    <t>FREIGHT</t>
  </si>
  <si>
    <t>TOTAL CIF USD</t>
  </si>
  <si>
    <t>EXPORT UNDER GST CIRCULAR NO. 26/2017 Customs DT.01/07/2017</t>
  </si>
  <si>
    <t xml:space="preserve">LETTER OF UNDERTAKING NO.ACKNOWLEDGMENT FOR LUT  APPLICATION REFERENCE NUMBER (ARN) AA240505005678W
DT:27/03/2025</t>
  </si>
  <si>
    <t>SUPPLIER DETAILS :- 1</t>
  </si>
  <si>
    <t>SUPPLIER DETAILS :- 2</t>
  </si>
  <si>
    <t>NAME:</t>
  </si>
  <si>
    <t>Gryphone Ceramic Pvt. Ltd.</t>
  </si>
  <si>
    <t>ADDISON CABLE PVT LMD</t>
  </si>
  <si>
    <t>GSTIN NO.</t>
  </si>
  <si>
    <t>24AAGCG8124J1ZK</t>
  </si>
  <si>
    <t>24AAGCA4469A1Z1</t>
  </si>
  <si>
    <t>TAX INVOICE NO &amp; DATE:</t>
  </si>
  <si>
    <t>PIN1-2526000968</t>
  </si>
  <si>
    <t>05.05.2025</t>
  </si>
  <si>
    <t>GT/841/25-26</t>
  </si>
  <si>
    <t>SUPPLIER DETAILS :- 3</t>
  </si>
  <si>
    <t>Signature &amp; Date</t>
  </si>
  <si>
    <t>FALCON PIPES PVT. LTD.</t>
  </si>
  <si>
    <t>For, ZERIC CERAMICA</t>
  </si>
  <si>
    <t>24AABCF3557F12B</t>
  </si>
  <si>
    <t>677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</si>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</sst>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 vertical="center" wrapText="1"/>
    </xf>
    <xf numFmtId="0" fontId="1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2" fontId="9" fillId="0" borderId="28" xfId="0" applyNumberFormat="1" applyFont="1" applyBorder="1" applyAlignment="1">
      <alignment horizontal="center" vertical="center" wrapText="1"/>
    </xf>
    <xf numFmtId="2" fontId="9" fillId="0" borderId="31" xfId="0" applyNumberFormat="1" applyFont="1" applyBorder="1" applyAlignment="1">
      <alignment horizontal="center" vertical="center" wrapText="1"/>
    </xf>
    <xf numFmtId="0" fontId="0" fillId="0" borderId="26" xfId="0" applyBorder="1"/>
    <xf numFmtId="0" fontId="0" fillId="0" borderId="32" xfId="0" applyBorder="1"/>
    <xf numFmtId="0" fontId="4" fillId="0" borderId="6" xfId="0" applyFont="1" applyBorder="1"/>
    <xf numFmtId="0" fontId="1" fillId="0" borderId="27" xfId="0" applyFont="1" applyBorder="1" applyAlignment="1">
      <alignment horizontal="center"/>
    </xf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2" fontId="1" fillId="0" borderId="27" xfId="0" applyNumberFormat="1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3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1" fillId="0" borderId="33" xfId="0" applyFont="1" applyBorder="1" applyAlignment="1">
      <alignment horizontal="center"/>
    </xf>
    <xf numFmtId="0" fontId="1" fillId="0" borderId="6" xfId="0" applyFont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4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/>
      <c r="W26" s="35" t="s">
        <v>38</v>
      </c>
      <c r="X26" s="35"/>
      <c r="Y26" s="35"/>
      <c r="Z26" s="36">
        <v>83.85</v>
      </c>
      <c r="AA26" s="36"/>
    </row>
    <row r="27" spans="1:27" x14ac:dyDescent="0.25">
      <c r="A27" s="37" t="s">
        <v>39</v>
      </c>
      <c r="B27" s="37"/>
      <c r="C27" s="37"/>
      <c r="D27" s="37"/>
      <c r="E27" s="38" t="s">
        <v>40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 t="s">
        <v>41</v>
      </c>
      <c r="S27" s="39" t="s">
        <v>42</v>
      </c>
      <c r="T27" s="39"/>
      <c r="U27" s="39" t="s">
        <v>43</v>
      </c>
      <c r="V27" s="39"/>
      <c r="W27" s="39" t="s">
        <v>44</v>
      </c>
      <c r="X27" s="39"/>
      <c r="Y27" s="39" t="s">
        <v>45</v>
      </c>
      <c r="Z27" s="39" t="s">
        <v>46</v>
      </c>
      <c r="AA27" s="39" t="s">
        <v>47</v>
      </c>
    </row>
    <row r="28" ht="24" customHeight="1" spans="1:27" x14ac:dyDescent="0.25">
      <c r="A28" s="40" t="s">
        <v>48</v>
      </c>
      <c r="B28" s="40"/>
      <c r="C28" s="40"/>
      <c r="D28" s="40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41" t="s">
        <v>49</v>
      </c>
      <c r="S28" s="42" t="s">
        <v>50</v>
      </c>
      <c r="T28" s="42"/>
      <c r="U28" s="41" t="s">
        <v>50</v>
      </c>
      <c r="V28" s="41"/>
      <c r="W28" s="41" t="s">
        <v>50</v>
      </c>
      <c r="X28" s="41"/>
      <c r="Y28" s="41" t="s">
        <v>51</v>
      </c>
      <c r="Z28" s="41" t="s">
        <v>51</v>
      </c>
      <c r="AA28" s="41" t="s">
        <v>52</v>
      </c>
    </row>
    <row r="29" ht="46" customHeight="1" spans="1:27" x14ac:dyDescent="0.25">
      <c r="A29" s="43" t="s">
        <v>53</v>
      </c>
      <c r="B29" s="44" t="s">
        <v>54</v>
      </c>
      <c r="C29" s="44"/>
      <c r="D29" s="44"/>
      <c r="E29" s="45" t="s">
        <v>55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6"/>
      <c r="S29" s="47"/>
      <c r="T29" s="48"/>
      <c r="U29" s="47"/>
      <c r="V29" s="48"/>
      <c r="W29" s="47"/>
      <c r="X29" s="48"/>
      <c r="Y29" s="46"/>
      <c r="Z29" s="46"/>
      <c r="AA29" s="49"/>
    </row>
    <row r="30" spans="1:27" x14ac:dyDescent="0.25">
      <c r="A30" s="50">
        <v>1</v>
      </c>
      <c r="B30" s="51">
        <v>69072100</v>
      </c>
      <c r="C30" s="51"/>
      <c r="D30" s="51"/>
      <c r="E30" s="52" t="s">
        <v>56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3" t="s">
        <v>57</v>
      </c>
      <c r="S30" s="52">
        <v>120</v>
      </c>
      <c r="T30" s="52"/>
      <c r="U30" s="52" t="s">
        <v>58</v>
      </c>
      <c r="V30" s="52"/>
      <c r="W30" s="52">
        <v>1.92</v>
      </c>
      <c r="X30" s="52"/>
      <c r="Y30" s="53">
        <f>S30*W30</f>
        <v>0</v>
      </c>
      <c r="Z30" s="54">
        <v>13.18</v>
      </c>
      <c r="AA30" s="55">
        <f>ROUND(Y30*Z30, 2)</f>
        <v>0</v>
      </c>
    </row>
    <row r="31" spans="1:27" x14ac:dyDescent="0.25">
      <c r="A31" s="50">
        <v>2</v>
      </c>
      <c r="B31" s="51">
        <v>69072100</v>
      </c>
      <c r="C31" s="51"/>
      <c r="D31" s="51"/>
      <c r="E31" s="52" t="s">
        <v>59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3" t="s">
        <v>57</v>
      </c>
      <c r="S31" s="52">
        <v>180</v>
      </c>
      <c r="T31" s="52"/>
      <c r="U31" s="52" t="s">
        <v>58</v>
      </c>
      <c r="V31" s="52"/>
      <c r="W31" s="52">
        <v>1.92</v>
      </c>
      <c r="X31" s="52"/>
      <c r="Y31" s="53">
        <f>S31*W31</f>
        <v>0</v>
      </c>
      <c r="Z31" s="54">
        <v>13.18</v>
      </c>
      <c r="AA31" s="55">
        <f>ROUND(Y31*Z31, 2)</f>
        <v>0</v>
      </c>
    </row>
    <row r="32" ht="46" customHeight="1" spans="1:27" x14ac:dyDescent="0.25">
      <c r="A32" s="56"/>
      <c r="B32" s="47"/>
      <c r="C32" s="57"/>
      <c r="D32" s="48"/>
      <c r="E32" s="45" t="s">
        <v>60</v>
      </c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6"/>
      <c r="S32" s="47"/>
      <c r="T32" s="48"/>
      <c r="U32" s="47"/>
      <c r="V32" s="48"/>
      <c r="W32" s="47"/>
      <c r="X32" s="48"/>
      <c r="Y32" s="46"/>
      <c r="Z32" s="46"/>
      <c r="AA32" s="49"/>
    </row>
    <row r="33" spans="1:27" x14ac:dyDescent="0.25">
      <c r="A33" s="50">
        <v>3</v>
      </c>
      <c r="B33" s="51">
        <v>85444930</v>
      </c>
      <c r="C33" s="51"/>
      <c r="D33" s="51"/>
      <c r="E33" s="52" t="s">
        <v>61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3" t="s">
        <v>62</v>
      </c>
      <c r="S33" s="52">
        <v>3</v>
      </c>
      <c r="T33" s="52"/>
      <c r="U33" s="52" t="s">
        <v>63</v>
      </c>
      <c r="V33" s="52"/>
      <c r="W33" s="52" t="s">
        <v>62</v>
      </c>
      <c r="X33" s="52"/>
      <c r="Y33" s="53">
        <v>1144</v>
      </c>
      <c r="Z33" s="54">
        <v>12.77</v>
      </c>
      <c r="AA33" s="55">
        <f>ROUND(Y33*Z33, 2)</f>
        <v>0</v>
      </c>
    </row>
    <row r="34" ht="46" customHeight="1" spans="1:27" x14ac:dyDescent="0.25">
      <c r="A34" s="56"/>
      <c r="B34" s="47"/>
      <c r="C34" s="57"/>
      <c r="D34" s="48"/>
      <c r="E34" s="45" t="s">
        <v>64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  <c r="T34" s="48"/>
      <c r="U34" s="47"/>
      <c r="V34" s="48"/>
      <c r="W34" s="47"/>
      <c r="X34" s="48"/>
      <c r="Y34" s="46"/>
      <c r="Z34" s="46"/>
      <c r="AA34" s="49"/>
    </row>
    <row r="35" ht="36" customHeight="1" spans="1:27" x14ac:dyDescent="0.25">
      <c r="A35" s="50">
        <v>4</v>
      </c>
      <c r="B35" s="51">
        <v>39172390</v>
      </c>
      <c r="C35" s="51"/>
      <c r="D35" s="51"/>
      <c r="E35" s="52" t="s">
        <v>65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3" t="s">
        <v>62</v>
      </c>
      <c r="S35" s="52">
        <v>280</v>
      </c>
      <c r="T35" s="52"/>
      <c r="U35" s="52" t="s">
        <v>66</v>
      </c>
      <c r="V35" s="52"/>
      <c r="W35" s="52" t="s">
        <v>62</v>
      </c>
      <c r="X35" s="52"/>
      <c r="Y35" s="53" t="s">
        <v>62</v>
      </c>
      <c r="Z35" s="54">
        <v>28</v>
      </c>
      <c r="AA35" s="55">
        <f>ROUND(S35*Z35, 2)</f>
        <v>0</v>
      </c>
    </row>
    <row r="36" spans="1:27" x14ac:dyDescent="0.25">
      <c r="A36" s="58"/>
      <c r="B36" s="58"/>
      <c r="C36" s="58"/>
      <c r="D36" s="58"/>
      <c r="E36" s="4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48"/>
      <c r="R36" s="46"/>
      <c r="S36" s="47"/>
      <c r="T36" s="48"/>
      <c r="U36" s="47"/>
      <c r="V36" s="48"/>
      <c r="W36" s="47"/>
      <c r="X36" s="48"/>
      <c r="Y36" s="46"/>
      <c r="Z36" s="46"/>
      <c r="AA36" s="49"/>
    </row>
    <row r="37" spans="1:27" x14ac:dyDescent="0.25">
      <c r="A37" s="58"/>
      <c r="B37" s="58"/>
      <c r="C37" s="58"/>
      <c r="D37" s="58"/>
      <c r="E37" s="4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48"/>
      <c r="R37" s="46"/>
      <c r="S37" s="47"/>
      <c r="T37" s="48"/>
      <c r="U37" s="47"/>
      <c r="V37" s="48"/>
      <c r="W37" s="47"/>
      <c r="X37" s="48"/>
      <c r="Y37" s="46"/>
      <c r="Z37" s="46"/>
      <c r="AA37" s="49"/>
    </row>
    <row r="38" spans="1:27" x14ac:dyDescent="0.25">
      <c r="A38" s="58"/>
      <c r="B38" s="58"/>
      <c r="C38" s="58"/>
      <c r="D38" s="58"/>
      <c r="E38" s="4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48"/>
      <c r="R38" s="46"/>
      <c r="S38" s="47"/>
      <c r="T38" s="48"/>
      <c r="U38" s="47"/>
      <c r="V38" s="48"/>
      <c r="W38" s="47"/>
      <c r="X38" s="48"/>
      <c r="Y38" s="46"/>
      <c r="Z38" s="46"/>
      <c r="AA38" s="49"/>
    </row>
    <row r="39" spans="1:27" x14ac:dyDescent="0.25">
      <c r="A39" s="58"/>
      <c r="B39" s="58"/>
      <c r="C39" s="58"/>
      <c r="D39" s="58"/>
      <c r="E39" s="59" t="s">
        <v>67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0"/>
      <c r="S39" s="60"/>
      <c r="T39" s="60"/>
      <c r="U39" s="60"/>
      <c r="V39" s="60"/>
      <c r="W39" s="60"/>
      <c r="X39" s="60"/>
      <c r="Y39" s="60"/>
      <c r="Z39" s="60"/>
      <c r="AA39" s="61"/>
    </row>
    <row r="40" spans="1:27" x14ac:dyDescent="0.25">
      <c r="A40" s="58"/>
      <c r="B40" s="58"/>
      <c r="C40" s="58"/>
      <c r="D40" s="58"/>
      <c r="E40" s="62" t="s">
        <v>68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0"/>
      <c r="S40" s="60"/>
      <c r="T40" s="60"/>
      <c r="U40" s="60"/>
      <c r="V40" s="60"/>
      <c r="W40" s="60"/>
      <c r="X40" s="60"/>
      <c r="Y40" s="60"/>
      <c r="Z40" s="60"/>
      <c r="AA40" s="61"/>
    </row>
    <row r="41" spans="1:27" x14ac:dyDescent="0.25">
      <c r="A41" s="58"/>
      <c r="B41" s="58"/>
      <c r="C41" s="58"/>
      <c r="D41" s="58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0"/>
      <c r="S41" s="60"/>
      <c r="T41" s="60"/>
      <c r="U41" s="60"/>
      <c r="V41" s="60"/>
      <c r="W41" s="60"/>
      <c r="X41" s="60"/>
      <c r="Y41" s="60"/>
      <c r="Z41" s="60"/>
      <c r="AA41" s="61"/>
    </row>
    <row r="42" spans="1:27" x14ac:dyDescent="0.25">
      <c r="A42" s="58"/>
      <c r="B42" s="58"/>
      <c r="C42" s="58"/>
      <c r="D42" s="58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1"/>
    </row>
    <row r="43" spans="1:27" x14ac:dyDescent="0.25">
      <c r="A43" s="58"/>
      <c r="B43" s="58"/>
      <c r="C43" s="58"/>
      <c r="D43" s="58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1"/>
    </row>
    <row r="44" spans="1:27" x14ac:dyDescent="0.25">
      <c r="A44" s="63" t="s">
        <v>69</v>
      </c>
      <c r="B44" s="63"/>
      <c r="C44" s="63"/>
      <c r="D44" s="63"/>
      <c r="E44" s="63"/>
      <c r="F44" s="64" t="s">
        <v>70</v>
      </c>
      <c r="G44" s="64"/>
      <c r="H44" s="64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1"/>
    </row>
    <row r="45" spans="1:27" x14ac:dyDescent="0.25">
      <c r="A45" s="63" t="s">
        <v>71</v>
      </c>
      <c r="B45" s="63"/>
      <c r="C45" s="63"/>
      <c r="D45" s="63"/>
      <c r="E45" s="63"/>
      <c r="F45" s="64" t="s">
        <v>72</v>
      </c>
      <c r="G45" s="64"/>
      <c r="H45" s="64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1"/>
    </row>
    <row r="46" spans="1:27" x14ac:dyDescent="0.25">
      <c r="A46" s="65" t="s">
        <v>73</v>
      </c>
      <c r="B46" s="65"/>
      <c r="C46" s="65"/>
      <c r="D46" s="65"/>
      <c r="E46" s="65"/>
      <c r="F46" s="65"/>
      <c r="G46" s="65"/>
      <c r="H46" s="44" t="s">
        <v>74</v>
      </c>
      <c r="I46" s="44"/>
      <c r="J46" s="44"/>
      <c r="K46" s="44"/>
      <c r="L46" s="44"/>
      <c r="M46" s="44"/>
      <c r="N46" s="44"/>
      <c r="O46" s="44"/>
      <c r="P46" s="44"/>
      <c r="Q46" s="44"/>
      <c r="R46" s="66"/>
      <c r="S46" s="4">
        <f>SUM(S30:S45)</f>
        <v>0</v>
      </c>
      <c r="T46" s="4"/>
      <c r="U46" s="67"/>
      <c r="V46" s="68"/>
      <c r="W46" s="4" t="s">
        <v>75</v>
      </c>
      <c r="X46" s="4"/>
      <c r="Y46" s="4"/>
      <c r="Z46" s="51" t="s">
        <v>76</v>
      </c>
      <c r="AA46" s="69">
        <f>ROUND(SUM(AA28:AA45), 2)</f>
        <v>0</v>
      </c>
    </row>
    <row r="47" spans="1:27" x14ac:dyDescent="0.25">
      <c r="A47" s="70" t="str">
        <f>INT(SUM(S30:S45)) &amp; " BOX"</f>
        <v>0BOX</v>
      </c>
      <c r="B47" s="70"/>
      <c r="C47" s="70"/>
      <c r="D47" s="70"/>
      <c r="E47" s="70"/>
      <c r="F47" s="70"/>
      <c r="G47" s="70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71"/>
      <c r="S47" s="27" t="s">
        <v>58</v>
      </c>
      <c r="T47" s="27"/>
      <c r="U47" s="72"/>
      <c r="V47" s="73"/>
      <c r="W47" s="27">
        <f>SUM(Y30:Y45)</f>
        <v>0</v>
      </c>
      <c r="X47" s="27"/>
      <c r="Y47" s="27"/>
      <c r="Z47" s="51"/>
      <c r="AA47" s="69"/>
    </row>
    <row r="48" spans="1:27" x14ac:dyDescent="0.25">
      <c r="A48" s="74" t="s">
        <v>77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5"/>
      <c r="S48" s="47"/>
      <c r="T48" s="57"/>
      <c r="U48" s="57"/>
      <c r="V48" s="57"/>
      <c r="W48" s="57"/>
      <c r="X48" s="57"/>
      <c r="Y48" s="48"/>
      <c r="Z48" s="59" t="s">
        <v>78</v>
      </c>
      <c r="AA48" s="76">
        <v>13.42</v>
      </c>
    </row>
    <row r="49" spans="1:27" x14ac:dyDescent="0.25">
      <c r="A49" s="77" t="s">
        <v>79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46"/>
      <c r="S49" s="47"/>
      <c r="T49" s="57"/>
      <c r="U49" s="57"/>
      <c r="V49" s="57"/>
      <c r="W49" s="57"/>
      <c r="X49" s="57"/>
      <c r="Y49" s="48"/>
      <c r="Z49" s="59" t="s">
        <v>80</v>
      </c>
      <c r="AA49" s="76">
        <v>450</v>
      </c>
    </row>
    <row r="50" spans="1:27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46"/>
      <c r="S50" s="78" t="s">
        <v>81</v>
      </c>
      <c r="T50" s="78"/>
      <c r="U50" s="78"/>
      <c r="V50" s="78"/>
      <c r="W50" s="78"/>
      <c r="X50" s="78"/>
      <c r="Y50" s="78"/>
      <c r="AA50" s="79">
        <f>ROUND(SUM(AA45:AA49), 4)</f>
        <v>0</v>
      </c>
    </row>
    <row r="51" spans="1:27" x14ac:dyDescent="0.25">
      <c r="A51" s="80" t="s">
        <v>82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spans="1:27" x14ac:dyDescent="0.25">
      <c r="A52" s="81" t="s">
        <v>83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x14ac:dyDescent="0.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x14ac:dyDescent="0.25">
      <c r="A54" s="82" t="s">
        <v>84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 t="s">
        <v>85</v>
      </c>
      <c r="S54" s="82"/>
      <c r="T54" s="82"/>
      <c r="U54" s="82"/>
      <c r="V54" s="82"/>
      <c r="W54" s="82"/>
      <c r="X54" s="82"/>
      <c r="Y54" s="82"/>
      <c r="Z54" s="82"/>
      <c r="AA54" s="82"/>
    </row>
    <row r="55" spans="1:27" x14ac:dyDescent="0.25">
      <c r="A55" s="82" t="s">
        <v>86</v>
      </c>
      <c r="B55" s="82"/>
      <c r="C55" s="82"/>
      <c r="D55" s="82"/>
      <c r="E55" s="82"/>
      <c r="F55" s="82"/>
      <c r="G55" s="83" t="s">
        <v>87</v>
      </c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2" t="s">
        <v>86</v>
      </c>
      <c r="S55" s="82"/>
      <c r="T55" s="82"/>
      <c r="U55" s="82"/>
      <c r="V55" s="84" t="s">
        <v>88</v>
      </c>
      <c r="W55" s="84"/>
      <c r="X55" s="84"/>
      <c r="Y55" s="84"/>
      <c r="Z55" s="84"/>
      <c r="AA55" s="84"/>
    </row>
    <row r="56" spans="1:27" x14ac:dyDescent="0.25">
      <c r="A56" s="82" t="s">
        <v>89</v>
      </c>
      <c r="B56" s="82"/>
      <c r="C56" s="82"/>
      <c r="D56" s="82"/>
      <c r="E56" s="82"/>
      <c r="F56" s="82"/>
      <c r="G56" s="83" t="s">
        <v>90</v>
      </c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2" t="s">
        <v>89</v>
      </c>
      <c r="S56" s="82"/>
      <c r="T56" s="82"/>
      <c r="U56" s="82"/>
      <c r="V56" s="84" t="s">
        <v>91</v>
      </c>
      <c r="W56" s="84"/>
      <c r="X56" s="84"/>
      <c r="Y56" s="84"/>
      <c r="Z56" s="84"/>
      <c r="AA56" s="84"/>
    </row>
    <row r="57" spans="1:27" x14ac:dyDescent="0.25">
      <c r="A57" s="82" t="s">
        <v>92</v>
      </c>
      <c r="B57" s="82"/>
      <c r="C57" s="82"/>
      <c r="D57" s="82"/>
      <c r="E57" s="82"/>
      <c r="F57" s="82"/>
      <c r="G57" s="83" t="s">
        <v>93</v>
      </c>
      <c r="H57" s="83"/>
      <c r="I57" s="83"/>
      <c r="J57" s="83"/>
      <c r="K57" s="83"/>
      <c r="L57" s="83" t="s">
        <v>94</v>
      </c>
      <c r="M57" s="83"/>
      <c r="N57" s="83"/>
      <c r="O57" s="83"/>
      <c r="P57" s="83"/>
      <c r="Q57" s="83"/>
      <c r="R57" s="82" t="s">
        <v>92</v>
      </c>
      <c r="S57" s="82"/>
      <c r="T57" s="82"/>
      <c r="U57" s="82"/>
      <c r="V57" s="83" t="s">
        <v>95</v>
      </c>
      <c r="W57" s="83"/>
      <c r="X57" s="83"/>
      <c r="Y57" s="83"/>
      <c r="Z57" s="84" t="s">
        <v>94</v>
      </c>
      <c r="AA57" s="84"/>
    </row>
    <row r="58" spans="1:27" x14ac:dyDescent="0.25">
      <c r="A58" s="82" t="s">
        <v>96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5" t="s">
        <v>97</v>
      </c>
      <c r="S58" s="85"/>
      <c r="T58" s="85"/>
      <c r="U58" s="85"/>
      <c r="V58" s="85"/>
      <c r="W58" s="85"/>
      <c r="X58" s="85"/>
      <c r="Y58" s="85"/>
      <c r="Z58" s="85"/>
      <c r="AA58" s="85"/>
    </row>
    <row r="59" spans="1:27" x14ac:dyDescent="0.25">
      <c r="A59" s="82" t="s">
        <v>86</v>
      </c>
      <c r="B59" s="82"/>
      <c r="C59" s="82"/>
      <c r="D59" s="82"/>
      <c r="E59" s="82"/>
      <c r="F59" s="82"/>
      <c r="G59" s="83" t="s">
        <v>98</v>
      </c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6" t="s">
        <v>99</v>
      </c>
      <c r="S59" s="86"/>
      <c r="T59" s="86"/>
      <c r="U59" s="86"/>
      <c r="V59" s="86"/>
      <c r="W59" s="86"/>
      <c r="X59" s="86"/>
      <c r="Y59" s="86"/>
      <c r="Z59" s="86"/>
      <c r="AA59" s="86"/>
    </row>
    <row r="60" spans="1:27" x14ac:dyDescent="0.25">
      <c r="A60" s="82" t="s">
        <v>89</v>
      </c>
      <c r="B60" s="82"/>
      <c r="C60" s="82"/>
      <c r="D60" s="82"/>
      <c r="E60" s="82"/>
      <c r="F60" s="82"/>
      <c r="G60" s="83" t="s">
        <v>100</v>
      </c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12"/>
      <c r="AA60" s="87"/>
    </row>
    <row r="61" spans="1:27" x14ac:dyDescent="0.25">
      <c r="A61" s="82" t="s">
        <v>92</v>
      </c>
      <c r="B61" s="82"/>
      <c r="C61" s="82"/>
      <c r="D61" s="82"/>
      <c r="E61" s="82"/>
      <c r="F61" s="82"/>
      <c r="G61" s="83" t="s">
        <v>101</v>
      </c>
      <c r="H61" s="83"/>
      <c r="I61" s="83"/>
      <c r="J61" s="83"/>
      <c r="K61" s="83"/>
      <c r="L61" s="83" t="s">
        <v>94</v>
      </c>
      <c r="M61" s="83"/>
      <c r="N61" s="83"/>
      <c r="O61" s="83"/>
      <c r="P61" s="83"/>
      <c r="Q61" s="83"/>
      <c r="R61" s="12"/>
      <c r="AA61" s="87"/>
    </row>
    <row r="62" spans="1:27" x14ac:dyDescent="0.25">
      <c r="A62" s="88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48"/>
      <c r="R62" s="12"/>
      <c r="AA62" s="87"/>
    </row>
    <row r="63" spans="1:27" x14ac:dyDescent="0.25">
      <c r="A63" s="89" t="s">
        <v>102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12"/>
      <c r="AA63" s="87"/>
    </row>
    <row r="64" spans="1:27" x14ac:dyDescent="0.2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90" t="s">
        <v>103</v>
      </c>
      <c r="S64" s="90"/>
      <c r="T64" s="90"/>
      <c r="U64" s="90"/>
      <c r="V64" s="90"/>
      <c r="W64" s="90"/>
      <c r="X64" s="90"/>
      <c r="Y64" s="90"/>
      <c r="Z64" s="90"/>
      <c r="AA64" s="90"/>
    </row>
  </sheetData>
  <mergeCells count="134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E32:Q32"/>
    <mergeCell ref="B33:D33"/>
    <mergeCell ref="E33:Q33"/>
    <mergeCell ref="S33:T33"/>
    <mergeCell ref="U33:V33"/>
    <mergeCell ref="W33:X33"/>
    <mergeCell ref="E34:Q34"/>
    <mergeCell ref="B35:D35"/>
    <mergeCell ref="E35:Q35"/>
    <mergeCell ref="S35:T35"/>
    <mergeCell ref="U35:V35"/>
    <mergeCell ref="W35:X35"/>
    <mergeCell ref="A36:D43"/>
    <mergeCell ref="E39:Q39"/>
    <mergeCell ref="S39:T45"/>
    <mergeCell ref="U39:V45"/>
    <mergeCell ref="W39:X45"/>
    <mergeCell ref="E40:Q41"/>
    <mergeCell ref="R39:R45"/>
    <mergeCell ref="Y39:Y45"/>
    <mergeCell ref="Z39:Z45"/>
    <mergeCell ref="AA39:AA45"/>
    <mergeCell ref="E42:Q43"/>
    <mergeCell ref="A44:E44"/>
    <mergeCell ref="F44:H44"/>
    <mergeCell ref="I44:Q44"/>
    <mergeCell ref="A45:E45"/>
    <mergeCell ref="F45:H45"/>
    <mergeCell ref="I45:Q45"/>
    <mergeCell ref="A46:G46"/>
    <mergeCell ref="H46:Q47"/>
    <mergeCell ref="S46:T46"/>
    <mergeCell ref="W46:Y46"/>
    <mergeCell ref="A47:G47"/>
    <mergeCell ref="S47:T47"/>
    <mergeCell ref="W47:Y47"/>
    <mergeCell ref="Z46:Z47"/>
    <mergeCell ref="AA46:AA47"/>
    <mergeCell ref="A48:Q48"/>
    <mergeCell ref="A49:Q50"/>
    <mergeCell ref="S50:Y50"/>
    <mergeCell ref="A51:AA51"/>
    <mergeCell ref="A52:AA53"/>
    <mergeCell ref="A54:Q54"/>
    <mergeCell ref="R54:AA54"/>
    <mergeCell ref="A55:F55"/>
    <mergeCell ref="G55:Q55"/>
    <mergeCell ref="R55:U55"/>
    <mergeCell ref="V55:AA55"/>
    <mergeCell ref="A56:F56"/>
    <mergeCell ref="G56:Q56"/>
    <mergeCell ref="R56:U56"/>
    <mergeCell ref="V56:AA56"/>
    <mergeCell ref="A57:F57"/>
    <mergeCell ref="G57:K57"/>
    <mergeCell ref="L57:Q57"/>
    <mergeCell ref="R57:U57"/>
    <mergeCell ref="V57:Y57"/>
    <mergeCell ref="Z57:AA57"/>
    <mergeCell ref="A58:Q58"/>
    <mergeCell ref="R58:AA58"/>
    <mergeCell ref="A59:F59"/>
    <mergeCell ref="G59:Q59"/>
    <mergeCell ref="R59:AA59"/>
    <mergeCell ref="A60:F60"/>
    <mergeCell ref="G60:Q60"/>
    <mergeCell ref="A61:F61"/>
    <mergeCell ref="G61:K61"/>
    <mergeCell ref="L61:Q61"/>
    <mergeCell ref="A63:Q64"/>
    <mergeCell ref="R64:AA6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2025-08-16T06:44:38Z</dcterms:created>
  <dcterms:modified xsi:type="dcterms:W3CDTF">2025-08-16T06:44:38Z</dcterms:modified>
</cp:coreProperties>
</file>