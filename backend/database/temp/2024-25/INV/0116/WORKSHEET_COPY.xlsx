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PY OF CUSTOM INVOICE" state="visible" r:id="rId4"/>
  </sheets>
  <calcPr calcId="171027"/>
</workbook>
</file>

<file path=xl/sharedStrings.xml><?xml version="1.0" encoding="utf-8"?>
<sst xmlns="http://schemas.openxmlformats.org/spreadsheetml/2006/main" count="122" uniqueCount="102">
  <si>
    <t>CUSTOMS INVOICE</t>
  </si>
  <si>
    <t>“SUPPLY MEANT FOR EXPORT UNDER BOND &amp; LUT- LETTER OF UNDERTAKING WITHOUT PAYMENT OF INTEGRATED TAX”</t>
  </si>
  <si>
    <t>EXPORTER:</t>
  </si>
  <si>
    <t>Invoice No. &amp; Date:</t>
  </si>
  <si>
    <t>Exporter’s Ref.:</t>
  </si>
  <si>
    <t xml:space="preserve">ZERIC CERAMICA
SECOND FLOOR, OFFICE NO 7, ISHAN CERAMIC ZONE WING D,
LALPAR, MORBI
GUJARAT 363642
INDIA</t>
  </si>
  <si>
    <t>INV/0116/2024-25</t>
  </si>
  <si>
    <t xml:space="preserve">I. E. Code #: AACFZ6694H
PAN No #: AACFZ6694H
GSTIN No #: 24AACFZ6694H1ZP
STATE CODE : 24</t>
  </si>
  <si>
    <t>Dt. 5/5/2025</t>
  </si>
  <si>
    <t>Buyer's Order no. &amp; Date</t>
  </si>
  <si>
    <t>Exp/0127/2024-25    13/03/2025</t>
  </si>
  <si>
    <t>EMAIL:</t>
  </si>
  <si>
    <t>info@zericceramic.com</t>
  </si>
  <si>
    <t>TAX ID:</t>
  </si>
  <si>
    <t>24AACFZ6694H1ZP</t>
  </si>
  <si>
    <t xml:space="preserve">PO No: </t>
  </si>
  <si>
    <t>Consignee:</t>
  </si>
  <si>
    <t>Notify Party # :</t>
  </si>
  <si>
    <t>TO THE ORDER</t>
  </si>
  <si>
    <t xml:space="preserve">AL -A. AL -A. TRAD. OMAN
M. S. Y. Q. A. T. E. O. OMAN
D.B. H. B. B. SINGAPORE</t>
  </si>
  <si>
    <t>Pre-Carriage By</t>
  </si>
  <si>
    <t>Place of Receipt by Pre-Carrier</t>
  </si>
  <si>
    <r>
      <rPr/>
      <t xml:space="preserve">Country of Origin of Goods : </t>
    </r>
    <r>
      <rPr>
        <b/>
      </rPr>
      <t>-</t>
    </r>
  </si>
  <si>
    <t>Country of Final Destination</t>
  </si>
  <si>
    <t/>
  </si>
  <si>
    <t>MORBI</t>
  </si>
  <si>
    <t>ORIGIN : -</t>
  </si>
  <si>
    <t>OMAN</t>
  </si>
  <si>
    <t>Vessel Flight No.</t>
  </si>
  <si>
    <t>Port of Loading</t>
  </si>
  <si>
    <t>Terms of Delivery &amp; Payment :-</t>
  </si>
  <si>
    <t>MUNDRA</t>
  </si>
  <si>
    <t>CIF AT SALALAH PORT</t>
  </si>
  <si>
    <t>Port of Discharge</t>
  </si>
  <si>
    <t>Final Destination</t>
  </si>
  <si>
    <t>PAYMENT : 9000 USD ADVANCE AND REMAINING AGAINST SCAN OF BL</t>
  </si>
  <si>
    <t>SALALAH</t>
  </si>
  <si>
    <t>SHIPPING - THROUGH SEA</t>
  </si>
  <si>
    <t>USD RATE:</t>
  </si>
  <si>
    <t>Marks &amp; Nos.</t>
  </si>
  <si>
    <t>Description of Goods</t>
  </si>
  <si>
    <t>SIZE</t>
  </si>
  <si>
    <t>QUANTITY</t>
  </si>
  <si>
    <t>UNIT TYPE</t>
  </si>
  <si>
    <t>SQM/</t>
  </si>
  <si>
    <t>TOTAL</t>
  </si>
  <si>
    <t>PRICE/</t>
  </si>
  <si>
    <t>AMOUNT</t>
  </si>
  <si>
    <t>1 X 40' FCL</t>
  </si>
  <si>
    <t>MM</t>
  </si>
  <si>
    <t>BOX/DRUM/PIECES</t>
  </si>
  <si>
    <t>SQM</t>
  </si>
  <si>
    <t>IN (USD)</t>
  </si>
  <si>
    <t>SR NO.</t>
  </si>
  <si>
    <t>HSN CODE</t>
  </si>
  <si>
    <t>GLAZED PORCELAIN SLAB TILES</t>
  </si>
  <si>
    <t>ASCIA WHITE POLISHED</t>
  </si>
  <si>
    <t>80 X 240</t>
  </si>
  <si>
    <t>BOX</t>
  </si>
  <si>
    <t>STATURIO ICE POLISHED</t>
  </si>
  <si>
    <t>ELECTRIC CABLE</t>
  </si>
  <si>
    <t>H07RN-F Type 3 CORE with 35mm COPPER CABLE</t>
  </si>
  <si>
    <t>-</t>
  </si>
  <si>
    <t>DRUM</t>
  </si>
  <si>
    <t>PVC PIPE</t>
  </si>
  <si>
    <t>113MM Super Heavy Duty Pipes With Pressure 36 Kg ( Coupler Length 250mm ) ( 3 Mtr )</t>
  </si>
  <si>
    <t>PIECES</t>
  </si>
  <si>
    <t>Export Under Duty Drawback Scheme</t>
  </si>
  <si>
    <t xml:space="preserve">I/we shall claim under chapter 3 incentive of FTP as admissible at time policy in force - MEIS, RODTEP </t>
  </si>
  <si>
    <t xml:space="preserve">NET WT. (KGS): </t>
  </si>
  <si>
    <t>27366</t>
  </si>
  <si>
    <t xml:space="preserve">GROSS WT.(KGS): </t>
  </si>
  <si>
    <t>27930</t>
  </si>
  <si>
    <t>Nos. of Kind Packages</t>
  </si>
  <si>
    <t>Total     &gt;&gt;&gt;&gt;&gt;&gt;&gt;&gt;&gt;&gt;</t>
  </si>
  <si>
    <t>TOTAL SQM</t>
  </si>
  <si>
    <t>CIF USD</t>
  </si>
  <si>
    <t>TOTAL CIF USD:</t>
  </si>
  <si>
    <t>THIRTY THOUSAND FIVE HUNDRED AND FOUR ONLY.</t>
  </si>
  <si>
    <t>TOTAL CIF USD</t>
  </si>
  <si>
    <t>EXPORT UNDER GST CIRCULAR NO. 26/2017 Customs DT.01/07/2017</t>
  </si>
  <si>
    <t xml:space="preserve">LETTER OF UNDERTAKING NO.ACKNOWLEDGMENT FOR LUT  APPLICATION REFERENCE NUMBER (ARN) AA240505005678W
DT:27/03/2025</t>
  </si>
  <si>
    <t>SUPPLIER DETAILS :- 1</t>
  </si>
  <si>
    <t>SUPPLIER DETAILS :- 2</t>
  </si>
  <si>
    <t>NAME:</t>
  </si>
  <si>
    <t>Gryphone Ceramic Pvt. Ltd.</t>
  </si>
  <si>
    <t>ADDISON CABLE PVT LMD</t>
  </si>
  <si>
    <t>GSTIN NO.</t>
  </si>
  <si>
    <t>24AAGCG8124J1ZK</t>
  </si>
  <si>
    <t>24AAGCA4469A1Z1</t>
  </si>
  <si>
    <t>TAX INVOICE NO &amp; DATE:</t>
  </si>
  <si>
    <t>PIN1-2526000968</t>
  </si>
  <si>
    <t>05.05.2025</t>
  </si>
  <si>
    <t>GT/841/25-26</t>
  </si>
  <si>
    <t>SUPPLIER DETAILS :- 3</t>
  </si>
  <si>
    <t>Signature &amp; Date</t>
  </si>
  <si>
    <t>FALCON PIPES PVT. LTD.</t>
  </si>
  <si>
    <t>For, ZERIC CERAMICA</t>
  </si>
  <si>
    <t>24AABCF3557F12B</t>
  </si>
  <si>
    <t>677</t>
  </si>
  <si>
    <t>Declaration:We declare that this invoice shows the actual price of the goods described and that all particulars are true and correct.</t>
  </si>
  <si>
    <t>AUTHORISED SIGN.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</si>
</sst>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"/>
  </numFmts>
  <fonts count="13" x14ac:knownFonts="1">
    <font>
      <color theme="1"/>
      <family val="2"/>
      <scheme val="minor"/>
      <sz val="11"/>
      <name val="Calibri"/>
    </font>
    <font>
      <b/>
      <sz val="10"/>
    </font>
    <font>
      <b/>
      <i/>
      <sz val="10"/>
    </font>
    <font>
      <b/>
      <u/>
      <sz val="10"/>
    </font>
    <font>
      <sz val="10"/>
    </font>
    <font>
      <b/>
      <color rgb="FFFF0000"/>
      <sz val="10"/>
    </font>
    <font>
      <color rgb="FFFF0000"/>
      <sz val="10"/>
    </font>
    <font>
      <color rgb="FFFF0000"/>
      <sz val="10"/>
      <name val="Arial"/>
    </font>
    <font>
      <b/>
      <sz val="12"/>
    </font>
    <font>
      <sz val="12"/>
    </font>
    <font>
      <u/>
      <sz val="10"/>
    </font>
    <font>
      <i/>
      <sz val="10"/>
    </font>
    <font>
      <i/>
      <color rgb="FFFF0000"/>
      <sz val="10"/>
      <name val="Arial"/>
    </font>
  </fonts>
  <fills count="2">
    <fill>
      <patternFill patternType="none"/>
    </fill>
    <fill>
      <patternFill patternType="gray125"/>
    </fill>
  </fills>
  <borders count="39">
    <border>
      <left/>
      <right/>
      <top/>
      <bottom/>
      <diagonal/>
    </border>
    <border>
      <left style="medium"/>
      <right style="medium"/>
      <top style="medium"/>
      <bottom style="thin"/>
      <diagonal/>
    </border>
    <border>
      <left style="medium"/>
      <right style="medium"/>
      <top style="thin"/>
      <bottom style="thin"/>
      <diagonal/>
    </border>
    <border>
      <left style="medium"/>
      <right/>
      <top/>
      <bottom/>
      <diagonal/>
    </border>
    <border>
      <left style="thin"/>
      <right style="thin"/>
      <top style="thin"/>
      <bottom/>
      <diagonal/>
    </border>
    <border>
      <left style="thin"/>
      <right style="medium"/>
      <top style="thin"/>
      <bottom/>
      <diagonal/>
    </border>
    <border>
      <left style="medium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medium"/>
      <top/>
      <bottom style="thin"/>
      <diagonal/>
    </border>
    <border>
      <left style="thin"/>
      <right style="thin"/>
      <top/>
      <bottom style="thin"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medium"/>
      <right/>
      <top style="thin"/>
      <bottom/>
      <diagonal/>
    </border>
    <border>
      <left/>
      <right style="thin"/>
      <top style="thin"/>
      <bottom/>
      <diagonal/>
    </border>
    <border>
      <left style="medium"/>
      <right/>
      <top/>
      <bottom style="thin"/>
      <diagonal/>
    </border>
    <border>
      <left/>
      <right style="thin"/>
      <top/>
      <bottom style="thin"/>
      <diagonal/>
    </border>
    <border>
      <left style="medium"/>
      <right style="thin"/>
      <top style="thin"/>
      <bottom/>
      <diagonal/>
    </border>
    <border>
      <left style="medium"/>
      <right style="medium"/>
      <top style="medium"/>
      <bottom/>
      <diagonal/>
    </border>
    <border>
      <left style="medium"/>
      <right style="thin"/>
      <top/>
      <bottom style="thin"/>
      <diagonal/>
    </border>
    <border>
      <left style="medium"/>
      <right style="medium"/>
      <top/>
      <bottom style="medium"/>
      <diagonal/>
    </border>
    <border>
      <left style="thin"/>
      <right style="medium"/>
      <top/>
      <bottom/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 style="medium"/>
      <right/>
      <top style="medium"/>
      <bottom style="medium"/>
      <diagonal/>
    </border>
    <border>
      <left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/>
      <right style="thin"/>
      <top style="thin"/>
      <bottom style="thin"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>
        <color rgb="FF000000"/>
      </left>
      <right style="medium"/>
      <top style="thin">
        <color rgb="FF000000"/>
      </top>
      <bottom style="thin">
        <color rgb="FF000000"/>
      </bottom>
      <diagonal/>
    </border>
    <border>
      <left/>
      <right/>
      <top style="thin"/>
      <bottom style="thin"/>
      <diagonal/>
    </border>
    <border>
      <left style="thin"/>
      <right style="medium"/>
      <top style="thin"/>
      <bottom style="thin"/>
      <diagonal/>
    </border>
    <border>
      <left style="thin"/>
      <right/>
      <top style="thin"/>
      <bottom/>
      <diagonal/>
    </border>
    <border>
      <left/>
      <right style="medium"/>
      <top/>
      <bottom/>
      <diagonal/>
    </border>
    <border>
      <left style="medium"/>
      <right/>
      <top style="thin"/>
      <bottom style="thin"/>
      <diagonal/>
    </border>
    <border>
      <left style="medium"/>
      <right style="thin"/>
      <top style="thin"/>
      <bottom style="medium"/>
      <diagonal/>
    </border>
    <border>
      <left style="thin"/>
      <right style="medium"/>
      <top/>
      <bottom style="medium"/>
      <diagonal/>
    </border>
  </borders>
  <cellStyleXfs count="1">
    <xf numFmtId="0" fontId="0" fillId="0" borderId="0"/>
  </cellStyleXfs>
  <cellXfs count="91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0" borderId="3" xfId="0" applyFont="1" applyBorder="1" applyAlignment="1">
      <alignment vertical="top" wrapText="1"/>
    </xf>
    <xf numFmtId="0" fontId="1" fillId="0" borderId="4" xfId="0" applyFont="1" applyBorder="1" applyAlignment="1">
      <alignment horizontal="center"/>
    </xf>
    <xf numFmtId="0" fontId="1" fillId="0" borderId="5" xfId="0" applyFont="1" applyBorder="1"/>
    <xf numFmtId="0" fontId="1" fillId="0" borderId="6" xfId="0" applyFont="1" applyBorder="1" applyAlignment="1">
      <alignment vertical="top" wrapText="1"/>
    </xf>
    <xf numFmtId="0" fontId="4" fillId="0" borderId="7" xfId="0" applyFont="1" applyBorder="1"/>
    <xf numFmtId="0" fontId="4" fillId="0" borderId="8" xfId="0" applyFont="1" applyBorder="1" applyAlignment="1">
      <alignment vertical="top" wrapText="1"/>
    </xf>
    <xf numFmtId="0" fontId="4" fillId="0" borderId="9" xfId="0" applyFont="1" applyBorder="1"/>
    <xf numFmtId="0" fontId="1" fillId="0" borderId="4" xfId="0" applyFont="1" applyBorder="1"/>
    <xf numFmtId="0" fontId="4" fillId="0" borderId="7" xfId="0" applyFont="1" applyBorder="1" applyAlignment="1">
      <alignment vertical="top" wrapText="1"/>
    </xf>
    <xf numFmtId="0" fontId="0" fillId="0" borderId="10" xfId="0" applyBorder="1"/>
    <xf numFmtId="0" fontId="0" fillId="0" borderId="11" xfId="0" applyBorder="1"/>
    <xf numFmtId="0" fontId="1" fillId="0" borderId="12" xfId="0" applyFont="1" applyBorder="1" applyAlignment="1">
      <alignment wrapText="1"/>
    </xf>
    <xf numFmtId="0" fontId="4" fillId="0" borderId="13" xfId="0" applyFont="1" applyBorder="1" applyAlignment="1">
      <alignment wrapText="1"/>
    </xf>
    <xf numFmtId="0" fontId="1" fillId="0" borderId="14" xfId="0" applyFont="1" applyBorder="1" applyAlignment="1">
      <alignment wrapText="1"/>
    </xf>
    <xf numFmtId="0" fontId="4" fillId="0" borderId="15" xfId="0" applyFont="1" applyBorder="1" applyAlignment="1">
      <alignment wrapText="1"/>
    </xf>
    <xf numFmtId="0" fontId="3" fillId="0" borderId="16" xfId="0" applyFont="1" applyBorder="1"/>
    <xf numFmtId="0" fontId="1" fillId="0" borderId="17" xfId="0" applyFont="1" applyBorder="1"/>
    <xf numFmtId="0" fontId="4" fillId="0" borderId="18" xfId="0" applyFont="1" applyBorder="1" applyAlignment="1">
      <alignment vertical="top" wrapText="1"/>
    </xf>
    <xf numFmtId="0" fontId="1" fillId="0" borderId="19" xfId="0" applyFont="1" applyBorder="1" applyAlignment="1">
      <alignment vertical="top" wrapText="1"/>
    </xf>
    <xf numFmtId="0" fontId="4" fillId="0" borderId="16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5" fillId="0" borderId="18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6" fillId="0" borderId="20" xfId="0" applyFont="1" applyBorder="1"/>
    <xf numFmtId="0" fontId="7" fillId="0" borderId="20" xfId="0" applyFont="1" applyBorder="1" applyAlignment="1">
      <alignment horizontal="left" vertical="top" wrapText="1"/>
    </xf>
    <xf numFmtId="0" fontId="5" fillId="0" borderId="1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4" fillId="0" borderId="21" xfId="0" applyFont="1" applyBorder="1"/>
    <xf numFmtId="0" fontId="0" fillId="0" borderId="22" xfId="0" applyBorder="1"/>
    <xf numFmtId="0" fontId="1" fillId="0" borderId="23" xfId="0" applyFont="1" applyBorder="1" applyAlignment="1">
      <alignment horizontal="center"/>
    </xf>
    <xf numFmtId="0" fontId="1" fillId="0" borderId="24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1" fillId="0" borderId="25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0" fontId="8" fillId="0" borderId="27" xfId="0" applyFont="1" applyBorder="1" applyAlignment="1">
      <alignment horizontal="center" vertical="center"/>
    </xf>
    <xf numFmtId="0" fontId="0" fillId="0" borderId="28" xfId="0" applyBorder="1"/>
    <xf numFmtId="0" fontId="0" fillId="0" borderId="29" xfId="0" applyBorder="1"/>
    <xf numFmtId="0" fontId="0" fillId="0" borderId="30" xfId="0" applyBorder="1"/>
    <xf numFmtId="0" fontId="0" fillId="0" borderId="31" xfId="0" applyBorder="1"/>
    <xf numFmtId="0" fontId="4" fillId="0" borderId="26" xfId="0" applyFont="1" applyBorder="1" applyAlignment="1">
      <alignment horizontal="right" vertical="center" wrapText="1"/>
    </xf>
    <xf numFmtId="0" fontId="1" fillId="0" borderId="27" xfId="0" applyFont="1" applyBorder="1" applyAlignment="1">
      <alignment horizontal="center" vertical="center" wrapText="1"/>
    </xf>
    <xf numFmtId="0" fontId="9" fillId="0" borderId="27" xfId="0" applyFont="1" applyBorder="1" applyAlignment="1">
      <alignment horizontal="center" vertical="center" wrapText="1"/>
    </xf>
    <xf numFmtId="0" fontId="9" fillId="0" borderId="28" xfId="0" applyFont="1" applyBorder="1" applyAlignment="1">
      <alignment horizontal="center" vertical="center" wrapText="1"/>
    </xf>
    <xf numFmtId="0" fontId="4" fillId="0" borderId="27" xfId="0" applyFont="1" applyBorder="1" applyAlignment="1">
      <alignment horizontal="center" vertical="center" wrapText="1"/>
    </xf>
    <xf numFmtId="2" fontId="9" fillId="0" borderId="28" xfId="0" applyNumberFormat="1" applyFont="1" applyBorder="1" applyAlignment="1">
      <alignment horizontal="center" vertical="center" wrapText="1"/>
    </xf>
    <xf numFmtId="164" fontId="9" fillId="0" borderId="28" xfId="0" applyNumberFormat="1" applyFont="1" applyBorder="1" applyAlignment="1">
      <alignment horizontal="center" vertical="center" wrapText="1"/>
    </xf>
    <xf numFmtId="164" fontId="9" fillId="0" borderId="31" xfId="0" applyNumberFormat="1" applyFont="1" applyBorder="1" applyAlignment="1">
      <alignment horizontal="center" vertical="center" wrapText="1"/>
    </xf>
    <xf numFmtId="0" fontId="0" fillId="0" borderId="26" xfId="0" applyBorder="1"/>
    <xf numFmtId="0" fontId="0" fillId="0" borderId="32" xfId="0" applyBorder="1"/>
    <xf numFmtId="0" fontId="4" fillId="0" borderId="6" xfId="0" applyFont="1" applyBorder="1"/>
    <xf numFmtId="0" fontId="1" fillId="0" borderId="27" xfId="0" applyFont="1" applyBorder="1" applyAlignment="1">
      <alignment horizontal="center"/>
    </xf>
    <xf numFmtId="0" fontId="4" fillId="0" borderId="27" xfId="0" applyFont="1" applyBorder="1"/>
    <xf numFmtId="0" fontId="4" fillId="0" borderId="33" xfId="0" applyFont="1" applyBorder="1"/>
    <xf numFmtId="0" fontId="1" fillId="0" borderId="27" xfId="0" applyFont="1" applyBorder="1" applyAlignment="1">
      <alignment horizontal="center" wrapText="1"/>
    </xf>
    <xf numFmtId="0" fontId="10" fillId="0" borderId="6" xfId="0" applyFont="1" applyBorder="1" applyAlignment="1">
      <alignment horizontal="right"/>
    </xf>
    <xf numFmtId="2" fontId="1" fillId="0" borderId="27" xfId="0" applyNumberFormat="1" applyFont="1" applyBorder="1" applyAlignment="1">
      <alignment horizontal="left"/>
    </xf>
    <xf numFmtId="0" fontId="1" fillId="0" borderId="16" xfId="0" applyFont="1" applyBorder="1" applyAlignment="1">
      <alignment horizontal="center"/>
    </xf>
    <xf numFmtId="0" fontId="0" fillId="0" borderId="4" xfId="0" applyBorder="1"/>
    <xf numFmtId="0" fontId="0" fillId="0" borderId="34" xfId="0" applyBorder="1"/>
    <xf numFmtId="0" fontId="0" fillId="0" borderId="13" xfId="0" applyBorder="1"/>
    <xf numFmtId="0" fontId="1" fillId="0" borderId="33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/>
    </xf>
    <xf numFmtId="0" fontId="0" fillId="0" borderId="9" xfId="0" applyBorder="1"/>
    <xf numFmtId="0" fontId="0" fillId="0" borderId="21" xfId="0" applyBorder="1"/>
    <xf numFmtId="0" fontId="0" fillId="0" borderId="15" xfId="0" applyBorder="1"/>
    <xf numFmtId="0" fontId="1" fillId="0" borderId="6" xfId="0" applyFont="1" applyBorder="1" applyAlignment="1">
      <alignment horizontal="left"/>
    </xf>
    <xf numFmtId="0" fontId="0" fillId="0" borderId="27" xfId="0" applyBorder="1"/>
    <xf numFmtId="0" fontId="0" fillId="0" borderId="33" xfId="0" applyBorder="1"/>
    <xf numFmtId="0" fontId="1" fillId="0" borderId="6" xfId="0" applyFont="1" applyBorder="1" applyAlignment="1">
      <alignment horizontal="left" vertical="top"/>
    </xf>
    <xf numFmtId="0" fontId="1" fillId="0" borderId="27" xfId="0" applyFont="1" applyBorder="1" applyAlignment="1">
      <alignment horizontal="right"/>
    </xf>
    <xf numFmtId="0" fontId="1" fillId="0" borderId="31" xfId="0" applyFont="1" applyBorder="1" applyAlignment="1">
      <alignment horizontal="center"/>
    </xf>
    <xf numFmtId="0" fontId="11" fillId="0" borderId="2" xfId="0" applyFont="1" applyBorder="1" applyAlignment="1">
      <alignment horizontal="left"/>
    </xf>
    <xf numFmtId="0" fontId="12" fillId="0" borderId="2" xfId="0" applyFont="1" applyBorder="1" applyAlignment="1">
      <alignment horizontal="left" vertical="top" wrapText="1"/>
    </xf>
    <xf numFmtId="0" fontId="1" fillId="0" borderId="25" xfId="0" applyFont="1" applyBorder="1" applyAlignment="1">
      <alignment horizontal="center"/>
    </xf>
    <xf numFmtId="0" fontId="4" fillId="0" borderId="27" xfId="0" applyFont="1" applyBorder="1" applyAlignment="1">
      <alignment horizontal="center"/>
    </xf>
    <xf numFmtId="0" fontId="4" fillId="0" borderId="33" xfId="0" applyFont="1" applyBorder="1" applyAlignment="1">
      <alignment horizontal="center"/>
    </xf>
    <xf numFmtId="0" fontId="1" fillId="0" borderId="5" xfId="0" applyFont="1" applyBorder="1" applyAlignment="1">
      <alignment horizontal="right"/>
    </xf>
    <xf numFmtId="0" fontId="1" fillId="0" borderId="20" xfId="0" applyFont="1" applyBorder="1" applyAlignment="1">
      <alignment horizontal="right"/>
    </xf>
    <xf numFmtId="0" fontId="0" fillId="0" borderId="35" xfId="0" applyBorder="1"/>
    <xf numFmtId="0" fontId="0" fillId="0" borderId="36" xfId="0" applyBorder="1"/>
    <xf numFmtId="0" fontId="1" fillId="0" borderId="37" xfId="0" applyFont="1" applyBorder="1" applyAlignment="1">
      <alignment horizontal="left" vertical="top" wrapText="1"/>
    </xf>
    <xf numFmtId="0" fontId="1" fillId="0" borderId="38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24</xdr:col>
      <xdr:colOff>0</xdr:colOff>
      <xdr:row>58</xdr:row>
      <xdr:rowOff>0</xdr:rowOff>
    </xdr:from>
    <xdr:ext cx="952500" cy="952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A64"/>
  <sheetFormatPr defaultRowHeight="15" outlineLevelRow="0" outlineLevelCol="0" x14ac:dyDescent="55"/>
  <cols>
    <col min="1" max="1" width="5.71" customWidth="1"/>
    <col min="2" max="2" width="1.57" customWidth="1"/>
    <col min="3" max="4" width="4" customWidth="1"/>
    <col min="5" max="8" width="3.71" customWidth="1"/>
    <col min="9" max="9" width="9.29" customWidth="1"/>
    <col min="10" max="10" width="1.57" customWidth="1"/>
    <col min="11" max="11" width="5" customWidth="1"/>
    <col min="12" max="12" width="3.86" customWidth="1"/>
    <col min="13" max="15" width="5.14" customWidth="1"/>
    <col min="16" max="16" width="8.14" customWidth="1"/>
    <col min="17" max="17" width="-0.57" hidden="1" customWidth="1"/>
    <col min="18" max="18" width="17" customWidth="1"/>
    <col min="19" max="20" width="4.71" customWidth="1"/>
    <col min="21" max="21" width="4.57" customWidth="1"/>
    <col min="22" max="22" width="9.14" customWidth="1"/>
    <col min="23" max="24" width="4" customWidth="1"/>
    <col min="25" max="25" width="9.71" customWidth="1"/>
    <col min="26" max="26" width="11.14" customWidth="1"/>
    <col min="27" max="27" width="11" customWidth="1"/>
  </cols>
  <sheetData>
    <row r="1" spans="1:27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x14ac:dyDescent="0.25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4" t="s">
        <v>3</v>
      </c>
      <c r="P3" s="4"/>
      <c r="Q3" s="4"/>
      <c r="R3" s="4"/>
      <c r="S3" s="4"/>
      <c r="T3" s="4"/>
      <c r="U3" s="5" t="s">
        <v>4</v>
      </c>
      <c r="V3" s="5"/>
      <c r="W3" s="5"/>
      <c r="X3" s="5"/>
      <c r="Y3" s="5"/>
      <c r="Z3" s="5"/>
      <c r="AA3" s="5"/>
    </row>
    <row r="4" spans="1:27" x14ac:dyDescent="0.25">
      <c r="A4" s="6" t="s">
        <v>5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7" t="s">
        <v>6</v>
      </c>
      <c r="P4" s="7"/>
      <c r="Q4" s="7"/>
      <c r="R4" s="7"/>
      <c r="S4" s="7"/>
      <c r="T4" s="7"/>
      <c r="U4" s="8" t="s">
        <v>7</v>
      </c>
      <c r="V4" s="8"/>
      <c r="W4" s="8"/>
      <c r="X4" s="8"/>
      <c r="Y4" s="8"/>
      <c r="Z4" s="8"/>
      <c r="AA4" s="8"/>
    </row>
    <row r="5" spans="1:27" x14ac:dyDescent="0.25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9" t="s">
        <v>8</v>
      </c>
      <c r="P5" s="9"/>
      <c r="Q5" s="9"/>
      <c r="R5" s="9"/>
      <c r="S5" s="9"/>
      <c r="T5" s="9"/>
      <c r="U5" s="8"/>
      <c r="V5" s="8"/>
      <c r="W5" s="8"/>
      <c r="X5" s="8"/>
      <c r="Y5" s="8"/>
      <c r="Z5" s="8"/>
      <c r="AA5" s="8"/>
    </row>
    <row r="6" spans="1:27" x14ac:dyDescent="0.25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10" t="s">
        <v>9</v>
      </c>
      <c r="P6" s="10"/>
      <c r="Q6" s="10"/>
      <c r="R6" s="10"/>
      <c r="S6" s="10"/>
      <c r="T6" s="10"/>
      <c r="U6" s="8"/>
      <c r="V6" s="8"/>
      <c r="W6" s="8"/>
      <c r="X6" s="8"/>
      <c r="Y6" s="8"/>
      <c r="Z6" s="8"/>
      <c r="AA6" s="8"/>
    </row>
    <row r="7" spans="1:27" x14ac:dyDescent="0.25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11" t="s">
        <v>10</v>
      </c>
      <c r="P7" s="11"/>
      <c r="Q7" s="11"/>
      <c r="R7" s="11"/>
      <c r="S7" s="11"/>
      <c r="T7" s="11"/>
      <c r="U7" s="8"/>
      <c r="V7" s="8"/>
      <c r="W7" s="8"/>
      <c r="X7" s="8"/>
      <c r="Y7" s="8"/>
      <c r="Z7" s="8"/>
      <c r="AA7" s="8"/>
    </row>
    <row r="8" spans="1:27" x14ac:dyDescent="0.25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11"/>
      <c r="P8" s="11"/>
      <c r="Q8" s="11"/>
      <c r="R8" s="11"/>
      <c r="S8" s="11"/>
      <c r="T8" s="11"/>
      <c r="U8" s="8"/>
      <c r="V8" s="8"/>
      <c r="W8" s="8"/>
      <c r="X8" s="8"/>
      <c r="Y8" s="8"/>
      <c r="Z8" s="8"/>
      <c r="AA8" s="8"/>
    </row>
    <row r="9" spans="1:27" x14ac:dyDescent="0.25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12"/>
      <c r="T9" s="13"/>
      <c r="U9" s="8"/>
      <c r="V9" s="8"/>
      <c r="W9" s="8"/>
      <c r="X9" s="8"/>
      <c r="Y9" s="8"/>
      <c r="Z9" s="8"/>
      <c r="AA9" s="8"/>
    </row>
    <row r="10" spans="1:27" x14ac:dyDescent="0.25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12"/>
      <c r="T10" s="13"/>
      <c r="U10" s="8"/>
      <c r="V10" s="8"/>
      <c r="W10" s="8"/>
      <c r="X10" s="8"/>
      <c r="Y10" s="8"/>
      <c r="Z10" s="8"/>
      <c r="AA10" s="8"/>
    </row>
    <row r="11" spans="1:27" x14ac:dyDescent="0.25">
      <c r="A11" s="14" t="s">
        <v>11</v>
      </c>
      <c r="B11" s="14"/>
      <c r="C11" s="15" t="s">
        <v>12</v>
      </c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2"/>
      <c r="T11" s="13"/>
      <c r="U11" s="8"/>
      <c r="V11" s="8"/>
      <c r="W11" s="8"/>
      <c r="X11" s="8"/>
      <c r="Y11" s="8"/>
      <c r="Z11" s="8"/>
      <c r="AA11" s="8"/>
    </row>
    <row r="12" spans="1:27" x14ac:dyDescent="0.25">
      <c r="A12" s="16" t="s">
        <v>13</v>
      </c>
      <c r="B12" s="16"/>
      <c r="C12" s="17" t="s">
        <v>14</v>
      </c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9" t="s">
        <v>15</v>
      </c>
      <c r="P12" s="9"/>
      <c r="Q12" s="9"/>
      <c r="R12" s="9"/>
      <c r="S12" s="9"/>
      <c r="T12" s="9"/>
      <c r="U12" s="8"/>
      <c r="V12" s="8"/>
      <c r="W12" s="8"/>
      <c r="X12" s="8"/>
      <c r="Y12" s="8"/>
      <c r="Z12" s="8"/>
      <c r="AA12" s="8"/>
    </row>
    <row r="13" spans="1:27" x14ac:dyDescent="0.25">
      <c r="A13" s="18" t="s">
        <v>16</v>
      </c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9" t="s">
        <v>17</v>
      </c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</row>
    <row r="14" spans="1:27" x14ac:dyDescent="0.25">
      <c r="A14" s="20" t="s">
        <v>18</v>
      </c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1" t="s">
        <v>19</v>
      </c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</row>
    <row r="15" spans="1:27" x14ac:dyDescent="0.25">
      <c r="A15" s="20"/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</row>
    <row r="16" spans="1:27" x14ac:dyDescent="0.25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</row>
    <row r="17" spans="1:27" x14ac:dyDescent="0.25">
      <c r="A17" s="20"/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</row>
    <row r="18" spans="1:27" x14ac:dyDescent="0.25">
      <c r="A18" s="20"/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</row>
    <row r="19" spans="1:27" x14ac:dyDescent="0.25">
      <c r="A19" s="20"/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</row>
    <row r="20" spans="1:27" x14ac:dyDescent="0.25">
      <c r="A20" s="22" t="s">
        <v>20</v>
      </c>
      <c r="B20" s="22"/>
      <c r="C20" s="22"/>
      <c r="D20" s="22"/>
      <c r="E20" s="22"/>
      <c r="F20" s="22"/>
      <c r="G20" s="22"/>
      <c r="H20" s="23" t="s">
        <v>21</v>
      </c>
      <c r="I20" s="23"/>
      <c r="J20" s="23"/>
      <c r="K20" s="23"/>
      <c r="L20" s="23"/>
      <c r="M20" s="23"/>
      <c r="N20" s="23"/>
      <c r="O20" s="23" t="s">
        <v>22</v>
      </c>
      <c r="P20" s="23"/>
      <c r="Q20" s="23"/>
      <c r="R20" s="23"/>
      <c r="S20" s="23"/>
      <c r="T20" s="23"/>
      <c r="U20" s="23"/>
      <c r="V20" s="23"/>
      <c r="W20" s="24" t="s">
        <v>23</v>
      </c>
      <c r="X20" s="24"/>
      <c r="Y20" s="24"/>
      <c r="Z20" s="24"/>
      <c r="AA20" s="24"/>
    </row>
    <row r="21" spans="1:27" x14ac:dyDescent="0.25">
      <c r="A21" s="25" t="s">
        <v>24</v>
      </c>
      <c r="B21" s="25"/>
      <c r="C21" s="25"/>
      <c r="D21" s="25"/>
      <c r="E21" s="25"/>
      <c r="F21" s="25"/>
      <c r="G21" s="25"/>
      <c r="H21" s="26" t="s">
        <v>25</v>
      </c>
      <c r="I21" s="26"/>
      <c r="J21" s="26"/>
      <c r="K21" s="26"/>
      <c r="L21" s="26"/>
      <c r="M21" s="26"/>
      <c r="N21" s="26"/>
      <c r="O21" s="27" t="s">
        <v>26</v>
      </c>
      <c r="P21" s="27"/>
      <c r="Q21" s="27"/>
      <c r="R21" s="27"/>
      <c r="S21" s="27"/>
      <c r="T21" s="27"/>
      <c r="U21" s="27"/>
      <c r="V21" s="27"/>
      <c r="W21" s="28" t="s">
        <v>27</v>
      </c>
      <c r="X21" s="28"/>
      <c r="Y21" s="28"/>
      <c r="Z21" s="28"/>
      <c r="AA21" s="28"/>
    </row>
    <row r="22" spans="1:27" x14ac:dyDescent="0.25">
      <c r="A22" s="22" t="s">
        <v>28</v>
      </c>
      <c r="B22" s="22"/>
      <c r="C22" s="22"/>
      <c r="D22" s="22"/>
      <c r="E22" s="22"/>
      <c r="F22" s="22"/>
      <c r="G22" s="22"/>
      <c r="H22" s="23" t="s">
        <v>29</v>
      </c>
      <c r="I22" s="23"/>
      <c r="J22" s="23"/>
      <c r="K22" s="23"/>
      <c r="L22" s="23"/>
      <c r="M22" s="23"/>
      <c r="N22" s="23"/>
      <c r="O22" s="5" t="s">
        <v>30</v>
      </c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</row>
    <row r="23" spans="1:27" x14ac:dyDescent="0.25">
      <c r="A23" s="25" t="s">
        <v>24</v>
      </c>
      <c r="B23" s="25"/>
      <c r="C23" s="25"/>
      <c r="D23" s="25"/>
      <c r="E23" s="25"/>
      <c r="F23" s="25"/>
      <c r="G23" s="25"/>
      <c r="H23" s="26" t="s">
        <v>31</v>
      </c>
      <c r="I23" s="26"/>
      <c r="J23" s="26"/>
      <c r="K23" s="26"/>
      <c r="L23" s="26"/>
      <c r="M23" s="26"/>
      <c r="N23" s="26"/>
      <c r="O23" s="29" t="s">
        <v>32</v>
      </c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</row>
    <row r="24" spans="1:27" x14ac:dyDescent="0.25">
      <c r="A24" s="22" t="s">
        <v>33</v>
      </c>
      <c r="B24" s="22"/>
      <c r="C24" s="22"/>
      <c r="D24" s="22"/>
      <c r="E24" s="22"/>
      <c r="F24" s="22"/>
      <c r="G24" s="22"/>
      <c r="H24" s="23" t="s">
        <v>34</v>
      </c>
      <c r="I24" s="23"/>
      <c r="J24" s="23"/>
      <c r="K24" s="23"/>
      <c r="L24" s="23"/>
      <c r="M24" s="23"/>
      <c r="N24" s="23"/>
      <c r="O24" s="30" t="s">
        <v>35</v>
      </c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  <c r="AA24" s="30"/>
    </row>
    <row r="25" spans="1:27" x14ac:dyDescent="0.25">
      <c r="A25" s="31" t="s">
        <v>36</v>
      </c>
      <c r="B25" s="31"/>
      <c r="C25" s="31"/>
      <c r="D25" s="31"/>
      <c r="E25" s="31"/>
      <c r="F25" s="31"/>
      <c r="G25" s="31"/>
      <c r="H25" s="32" t="s">
        <v>27</v>
      </c>
      <c r="I25" s="32"/>
      <c r="J25" s="32"/>
      <c r="K25" s="32"/>
      <c r="L25" s="32"/>
      <c r="M25" s="32"/>
      <c r="N25" s="32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  <c r="AA25" s="30"/>
    </row>
    <row r="26" spans="1:27" x14ac:dyDescent="0.25">
      <c r="A26" s="31"/>
      <c r="B26" s="31"/>
      <c r="C26" s="31"/>
      <c r="D26" s="31"/>
      <c r="E26" s="31"/>
      <c r="F26" s="31"/>
      <c r="G26" s="31"/>
      <c r="H26" s="32"/>
      <c r="I26" s="32"/>
      <c r="J26" s="32"/>
      <c r="K26" s="32"/>
      <c r="L26" s="32"/>
      <c r="M26" s="32"/>
      <c r="N26" s="32"/>
      <c r="O26" s="33" t="s">
        <v>37</v>
      </c>
      <c r="P26" s="33"/>
      <c r="Q26" s="33"/>
      <c r="R26" s="33"/>
      <c r="S26" s="33"/>
      <c r="T26" s="33"/>
      <c r="U26" s="33"/>
      <c r="V26" s="34"/>
      <c r="W26" s="35" t="s">
        <v>38</v>
      </c>
      <c r="X26" s="35"/>
      <c r="Y26" s="35"/>
      <c r="Z26" s="36">
        <v>83.85</v>
      </c>
      <c r="AA26" s="36"/>
    </row>
    <row r="27" spans="1:27" x14ac:dyDescent="0.25">
      <c r="A27" s="37" t="s">
        <v>39</v>
      </c>
      <c r="B27" s="37"/>
      <c r="C27" s="37"/>
      <c r="D27" s="37"/>
      <c r="E27" s="38" t="s">
        <v>40</v>
      </c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9" t="s">
        <v>41</v>
      </c>
      <c r="S27" s="39" t="s">
        <v>42</v>
      </c>
      <c r="T27" s="39"/>
      <c r="U27" s="39" t="s">
        <v>43</v>
      </c>
      <c r="V27" s="39"/>
      <c r="W27" s="39" t="s">
        <v>44</v>
      </c>
      <c r="X27" s="39"/>
      <c r="Y27" s="39" t="s">
        <v>45</v>
      </c>
      <c r="Z27" s="39" t="s">
        <v>46</v>
      </c>
      <c r="AA27" s="39" t="s">
        <v>47</v>
      </c>
    </row>
    <row r="28" ht="24" customHeight="1" spans="1:27" x14ac:dyDescent="0.25">
      <c r="A28" s="40" t="s">
        <v>48</v>
      </c>
      <c r="B28" s="40"/>
      <c r="C28" s="40"/>
      <c r="D28" s="40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40" t="s">
        <v>49</v>
      </c>
      <c r="S28" s="40" t="s">
        <v>50</v>
      </c>
      <c r="T28" s="40"/>
      <c r="U28" s="40" t="s">
        <v>50</v>
      </c>
      <c r="V28" s="40"/>
      <c r="W28" s="40" t="s">
        <v>50</v>
      </c>
      <c r="X28" s="40"/>
      <c r="Y28" s="40" t="s">
        <v>51</v>
      </c>
      <c r="Z28" s="40" t="s">
        <v>51</v>
      </c>
      <c r="AA28" s="40" t="s">
        <v>52</v>
      </c>
    </row>
    <row r="29" ht="46" customHeight="1" spans="1:27" x14ac:dyDescent="0.25">
      <c r="A29" s="41" t="s">
        <v>53</v>
      </c>
      <c r="B29" s="42" t="s">
        <v>54</v>
      </c>
      <c r="C29" s="42"/>
      <c r="D29" s="42"/>
      <c r="E29" s="43" t="s">
        <v>55</v>
      </c>
      <c r="F29" s="43"/>
      <c r="G29" s="43"/>
      <c r="H29" s="43"/>
      <c r="I29" s="43"/>
      <c r="J29" s="43"/>
      <c r="K29" s="43"/>
      <c r="L29" s="43"/>
      <c r="M29" s="43"/>
      <c r="N29" s="43"/>
      <c r="O29" s="43"/>
      <c r="P29" s="43"/>
      <c r="Q29" s="43"/>
      <c r="R29" s="44"/>
      <c r="S29" s="45"/>
      <c r="T29" s="46"/>
      <c r="U29" s="45"/>
      <c r="V29" s="46"/>
      <c r="W29" s="45"/>
      <c r="X29" s="46"/>
      <c r="Y29" s="44"/>
      <c r="Z29" s="44"/>
      <c r="AA29" s="47"/>
    </row>
    <row r="30" spans="1:27" x14ac:dyDescent="0.25">
      <c r="A30" s="48">
        <v>1</v>
      </c>
      <c r="B30" s="49">
        <v>69072100</v>
      </c>
      <c r="C30" s="49"/>
      <c r="D30" s="49"/>
      <c r="E30" s="50" t="s">
        <v>56</v>
      </c>
      <c r="F30" s="50"/>
      <c r="G30" s="50"/>
      <c r="H30" s="50"/>
      <c r="I30" s="50"/>
      <c r="J30" s="50"/>
      <c r="K30" s="50"/>
      <c r="L30" s="50"/>
      <c r="M30" s="50"/>
      <c r="N30" s="50"/>
      <c r="O30" s="50"/>
      <c r="P30" s="50"/>
      <c r="Q30" s="50"/>
      <c r="R30" s="51" t="s">
        <v>57</v>
      </c>
      <c r="S30" s="50">
        <v>120</v>
      </c>
      <c r="T30" s="50"/>
      <c r="U30" s="52" t="s">
        <v>58</v>
      </c>
      <c r="V30" s="52"/>
      <c r="W30" s="50">
        <v>1.92</v>
      </c>
      <c r="X30" s="50"/>
      <c r="Y30" s="53">
        <f>S30*W30</f>
        <v>0</v>
      </c>
      <c r="Z30" s="54">
        <v>13.6791</v>
      </c>
      <c r="AA30" s="55">
        <f>ROUND(Y30*Z30, 4)</f>
        <v>0</v>
      </c>
    </row>
    <row r="31" spans="1:27" x14ac:dyDescent="0.25">
      <c r="A31" s="48">
        <v>2</v>
      </c>
      <c r="B31" s="49">
        <v>69072100</v>
      </c>
      <c r="C31" s="49"/>
      <c r="D31" s="49"/>
      <c r="E31" s="50" t="s">
        <v>59</v>
      </c>
      <c r="F31" s="50"/>
      <c r="G31" s="50"/>
      <c r="H31" s="50"/>
      <c r="I31" s="50"/>
      <c r="J31" s="50"/>
      <c r="K31" s="50"/>
      <c r="L31" s="50"/>
      <c r="M31" s="50"/>
      <c r="N31" s="50"/>
      <c r="O31" s="50"/>
      <c r="P31" s="50"/>
      <c r="Q31" s="50"/>
      <c r="R31" s="51" t="s">
        <v>57</v>
      </c>
      <c r="S31" s="50">
        <v>180</v>
      </c>
      <c r="T31" s="50"/>
      <c r="U31" s="52" t="s">
        <v>58</v>
      </c>
      <c r="V31" s="52"/>
      <c r="W31" s="50">
        <v>1.92</v>
      </c>
      <c r="X31" s="50"/>
      <c r="Y31" s="53">
        <f>S31*W31</f>
        <v>0</v>
      </c>
      <c r="Z31" s="54">
        <v>13.5128</v>
      </c>
      <c r="AA31" s="55">
        <f>ROUND(Y31*Z31, 4)</f>
        <v>0</v>
      </c>
    </row>
    <row r="32" ht="46" customHeight="1" spans="1:27" x14ac:dyDescent="0.25">
      <c r="A32" s="56"/>
      <c r="B32" s="45"/>
      <c r="C32" s="57"/>
      <c r="D32" s="46"/>
      <c r="E32" s="43" t="s">
        <v>60</v>
      </c>
      <c r="F32" s="43"/>
      <c r="G32" s="43"/>
      <c r="H32" s="43"/>
      <c r="I32" s="43"/>
      <c r="J32" s="43"/>
      <c r="K32" s="43"/>
      <c r="L32" s="43"/>
      <c r="M32" s="43"/>
      <c r="N32" s="43"/>
      <c r="O32" s="43"/>
      <c r="P32" s="43"/>
      <c r="Q32" s="43"/>
      <c r="R32" s="44"/>
      <c r="S32" s="45"/>
      <c r="T32" s="46"/>
      <c r="U32" s="45"/>
      <c r="V32" s="46"/>
      <c r="W32" s="45"/>
      <c r="X32" s="46"/>
      <c r="Y32" s="44"/>
      <c r="Z32" s="44"/>
      <c r="AA32" s="47"/>
    </row>
    <row r="33" spans="1:27" x14ac:dyDescent="0.25">
      <c r="A33" s="48">
        <v>3</v>
      </c>
      <c r="B33" s="49">
        <v>85444930</v>
      </c>
      <c r="C33" s="49"/>
      <c r="D33" s="49"/>
      <c r="E33" s="50" t="s">
        <v>61</v>
      </c>
      <c r="F33" s="50"/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1" t="s">
        <v>62</v>
      </c>
      <c r="S33" s="50">
        <v>3</v>
      </c>
      <c r="T33" s="50"/>
      <c r="U33" s="52" t="s">
        <v>63</v>
      </c>
      <c r="V33" s="52"/>
      <c r="W33" s="50" t="s">
        <v>62</v>
      </c>
      <c r="X33" s="50"/>
      <c r="Y33" s="53">
        <v>1144</v>
      </c>
      <c r="Z33" s="54">
        <v>51.103300000000004</v>
      </c>
      <c r="AA33" s="55">
        <f>ROUND(Y33*Z33, 4)</f>
        <v>0</v>
      </c>
    </row>
    <row r="34" ht="46" customHeight="1" spans="1:27" x14ac:dyDescent="0.25">
      <c r="A34" s="56"/>
      <c r="B34" s="45"/>
      <c r="C34" s="57"/>
      <c r="D34" s="46"/>
      <c r="E34" s="43" t="s">
        <v>64</v>
      </c>
      <c r="F34" s="43"/>
      <c r="G34" s="43"/>
      <c r="H34" s="43"/>
      <c r="I34" s="43"/>
      <c r="J34" s="43"/>
      <c r="K34" s="43"/>
      <c r="L34" s="43"/>
      <c r="M34" s="43"/>
      <c r="N34" s="43"/>
      <c r="O34" s="43"/>
      <c r="P34" s="43"/>
      <c r="Q34" s="43"/>
      <c r="R34" s="44"/>
      <c r="S34" s="45"/>
      <c r="T34" s="46"/>
      <c r="U34" s="45"/>
      <c r="V34" s="46"/>
      <c r="W34" s="45"/>
      <c r="X34" s="46"/>
      <c r="Y34" s="44"/>
      <c r="Z34" s="44"/>
      <c r="AA34" s="47"/>
    </row>
    <row r="35" ht="36" customHeight="1" spans="1:27" x14ac:dyDescent="0.25">
      <c r="A35" s="48">
        <v>4</v>
      </c>
      <c r="B35" s="49">
        <v>39172390</v>
      </c>
      <c r="C35" s="49"/>
      <c r="D35" s="49"/>
      <c r="E35" s="50" t="s">
        <v>65</v>
      </c>
      <c r="F35" s="50"/>
      <c r="G35" s="50"/>
      <c r="H35" s="50"/>
      <c r="I35" s="50"/>
      <c r="J35" s="50"/>
      <c r="K35" s="50"/>
      <c r="L35" s="50"/>
      <c r="M35" s="50"/>
      <c r="N35" s="50"/>
      <c r="O35" s="50"/>
      <c r="P35" s="50"/>
      <c r="Q35" s="50"/>
      <c r="R35" s="51" t="s">
        <v>62</v>
      </c>
      <c r="S35" s="50">
        <v>280</v>
      </c>
      <c r="T35" s="50"/>
      <c r="U35" s="52" t="s">
        <v>66</v>
      </c>
      <c r="V35" s="52"/>
      <c r="W35" s="50" t="s">
        <v>62</v>
      </c>
      <c r="X35" s="50"/>
      <c r="Y35" s="53" t="s">
        <v>62</v>
      </c>
      <c r="Z35" s="54">
        <v>80.4606</v>
      </c>
      <c r="AA35" s="55">
        <f>ROUND(S35*Z35, 4)</f>
        <v>0</v>
      </c>
    </row>
    <row r="36" spans="1:27" x14ac:dyDescent="0.25">
      <c r="A36" s="58"/>
      <c r="B36" s="58"/>
      <c r="C36" s="58"/>
      <c r="D36" s="58"/>
      <c r="E36" s="45"/>
      <c r="F36" s="57"/>
      <c r="G36" s="57"/>
      <c r="H36" s="57"/>
      <c r="I36" s="57"/>
      <c r="J36" s="57"/>
      <c r="K36" s="57"/>
      <c r="L36" s="57"/>
      <c r="M36" s="57"/>
      <c r="N36" s="57"/>
      <c r="O36" s="57"/>
      <c r="P36" s="57"/>
      <c r="Q36" s="46"/>
      <c r="R36" s="44"/>
      <c r="S36" s="45"/>
      <c r="T36" s="46"/>
      <c r="U36" s="45"/>
      <c r="V36" s="46"/>
      <c r="W36" s="45"/>
      <c r="X36" s="46"/>
      <c r="Y36" s="44"/>
      <c r="Z36" s="44"/>
      <c r="AA36" s="47"/>
    </row>
    <row r="37" spans="1:27" x14ac:dyDescent="0.25">
      <c r="A37" s="58"/>
      <c r="B37" s="58"/>
      <c r="C37" s="58"/>
      <c r="D37" s="58"/>
      <c r="E37" s="45"/>
      <c r="F37" s="57"/>
      <c r="G37" s="57"/>
      <c r="H37" s="57"/>
      <c r="I37" s="57"/>
      <c r="J37" s="57"/>
      <c r="K37" s="57"/>
      <c r="L37" s="57"/>
      <c r="M37" s="57"/>
      <c r="N37" s="57"/>
      <c r="O37" s="57"/>
      <c r="P37" s="57"/>
      <c r="Q37" s="46"/>
      <c r="R37" s="44"/>
      <c r="S37" s="45"/>
      <c r="T37" s="46"/>
      <c r="U37" s="45"/>
      <c r="V37" s="46"/>
      <c r="W37" s="45"/>
      <c r="X37" s="46"/>
      <c r="Y37" s="44"/>
      <c r="Z37" s="44"/>
      <c r="AA37" s="47"/>
    </row>
    <row r="38" spans="1:27" x14ac:dyDescent="0.25">
      <c r="A38" s="58"/>
      <c r="B38" s="58"/>
      <c r="C38" s="58"/>
      <c r="D38" s="58"/>
      <c r="E38" s="45"/>
      <c r="F38" s="57"/>
      <c r="G38" s="57"/>
      <c r="H38" s="57"/>
      <c r="I38" s="57"/>
      <c r="J38" s="57"/>
      <c r="K38" s="57"/>
      <c r="L38" s="57"/>
      <c r="M38" s="57"/>
      <c r="N38" s="57"/>
      <c r="O38" s="57"/>
      <c r="P38" s="57"/>
      <c r="Q38" s="46"/>
      <c r="R38" s="44"/>
      <c r="S38" s="45"/>
      <c r="T38" s="46"/>
      <c r="U38" s="45"/>
      <c r="V38" s="46"/>
      <c r="W38" s="45"/>
      <c r="X38" s="46"/>
      <c r="Y38" s="44"/>
      <c r="Z38" s="44"/>
      <c r="AA38" s="47"/>
    </row>
    <row r="39" spans="1:27" x14ac:dyDescent="0.25">
      <c r="A39" s="58"/>
      <c r="B39" s="58"/>
      <c r="C39" s="58"/>
      <c r="D39" s="58"/>
      <c r="E39" s="59" t="s">
        <v>67</v>
      </c>
      <c r="F39" s="59"/>
      <c r="G39" s="59"/>
      <c r="H39" s="59"/>
      <c r="I39" s="59"/>
      <c r="J39" s="59"/>
      <c r="K39" s="59"/>
      <c r="L39" s="59"/>
      <c r="M39" s="59"/>
      <c r="N39" s="59"/>
      <c r="O39" s="59"/>
      <c r="P39" s="59"/>
      <c r="Q39" s="59"/>
      <c r="R39" s="60"/>
      <c r="S39" s="60"/>
      <c r="T39" s="60"/>
      <c r="U39" s="60"/>
      <c r="V39" s="60"/>
      <c r="W39" s="60"/>
      <c r="X39" s="60"/>
      <c r="Y39" s="60"/>
      <c r="Z39" s="60"/>
      <c r="AA39" s="61"/>
    </row>
    <row r="40" spans="1:27" x14ac:dyDescent="0.25">
      <c r="A40" s="58"/>
      <c r="B40" s="58"/>
      <c r="C40" s="58"/>
      <c r="D40" s="58"/>
      <c r="E40" s="62" t="s">
        <v>68</v>
      </c>
      <c r="F40" s="62"/>
      <c r="G40" s="62"/>
      <c r="H40" s="62"/>
      <c r="I40" s="62"/>
      <c r="J40" s="62"/>
      <c r="K40" s="62"/>
      <c r="L40" s="62"/>
      <c r="M40" s="62"/>
      <c r="N40" s="62"/>
      <c r="O40" s="62"/>
      <c r="P40" s="62"/>
      <c r="Q40" s="62"/>
      <c r="R40" s="60"/>
      <c r="S40" s="60"/>
      <c r="T40" s="60"/>
      <c r="U40" s="60"/>
      <c r="V40" s="60"/>
      <c r="W40" s="60"/>
      <c r="X40" s="60"/>
      <c r="Y40" s="60"/>
      <c r="Z40" s="60"/>
      <c r="AA40" s="61"/>
    </row>
    <row r="41" spans="1:27" x14ac:dyDescent="0.25">
      <c r="A41" s="58"/>
      <c r="B41" s="58"/>
      <c r="C41" s="58"/>
      <c r="D41" s="58"/>
      <c r="E41" s="62"/>
      <c r="F41" s="62"/>
      <c r="G41" s="62"/>
      <c r="H41" s="62"/>
      <c r="I41" s="62"/>
      <c r="J41" s="62"/>
      <c r="K41" s="62"/>
      <c r="L41" s="62"/>
      <c r="M41" s="62"/>
      <c r="N41" s="62"/>
      <c r="O41" s="62"/>
      <c r="P41" s="62"/>
      <c r="Q41" s="62"/>
      <c r="R41" s="60"/>
      <c r="S41" s="60"/>
      <c r="T41" s="60"/>
      <c r="U41" s="60"/>
      <c r="V41" s="60"/>
      <c r="W41" s="60"/>
      <c r="X41" s="60"/>
      <c r="Y41" s="60"/>
      <c r="Z41" s="60"/>
      <c r="AA41" s="61"/>
    </row>
    <row r="42" spans="1:27" x14ac:dyDescent="0.25">
      <c r="A42" s="58"/>
      <c r="B42" s="58"/>
      <c r="C42" s="58"/>
      <c r="D42" s="58"/>
      <c r="E42" s="60"/>
      <c r="F42" s="60"/>
      <c r="G42" s="60"/>
      <c r="H42" s="60"/>
      <c r="I42" s="60"/>
      <c r="J42" s="60"/>
      <c r="K42" s="60"/>
      <c r="L42" s="60"/>
      <c r="M42" s="60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0"/>
      <c r="AA42" s="61"/>
    </row>
    <row r="43" spans="1:27" x14ac:dyDescent="0.25">
      <c r="A43" s="58"/>
      <c r="B43" s="58"/>
      <c r="C43" s="58"/>
      <c r="D43" s="58"/>
      <c r="E43" s="60"/>
      <c r="F43" s="60"/>
      <c r="G43" s="60"/>
      <c r="H43" s="60"/>
      <c r="I43" s="60"/>
      <c r="J43" s="60"/>
      <c r="K43" s="60"/>
      <c r="L43" s="60"/>
      <c r="M43" s="60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  <c r="AA43" s="61"/>
    </row>
    <row r="44" spans="1:27" x14ac:dyDescent="0.25">
      <c r="A44" s="63" t="s">
        <v>69</v>
      </c>
      <c r="B44" s="63"/>
      <c r="C44" s="63"/>
      <c r="D44" s="63"/>
      <c r="E44" s="63"/>
      <c r="F44" s="64" t="s">
        <v>70</v>
      </c>
      <c r="G44" s="64"/>
      <c r="H44" s="64"/>
      <c r="I44" s="60"/>
      <c r="J44" s="60"/>
      <c r="K44" s="60"/>
      <c r="L44" s="60"/>
      <c r="M44" s="60"/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  <c r="AA44" s="61"/>
    </row>
    <row r="45" spans="1:27" x14ac:dyDescent="0.25">
      <c r="A45" s="63" t="s">
        <v>71</v>
      </c>
      <c r="B45" s="63"/>
      <c r="C45" s="63"/>
      <c r="D45" s="63"/>
      <c r="E45" s="63"/>
      <c r="F45" s="64" t="s">
        <v>72</v>
      </c>
      <c r="G45" s="64"/>
      <c r="H45" s="64"/>
      <c r="I45" s="60"/>
      <c r="J45" s="60"/>
      <c r="K45" s="60"/>
      <c r="L45" s="60"/>
      <c r="M45" s="60"/>
      <c r="N45" s="60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  <c r="Z45" s="60"/>
      <c r="AA45" s="61"/>
    </row>
    <row r="46" spans="1:27" x14ac:dyDescent="0.25">
      <c r="A46" s="65" t="s">
        <v>73</v>
      </c>
      <c r="B46" s="65"/>
      <c r="C46" s="65"/>
      <c r="D46" s="65"/>
      <c r="E46" s="65"/>
      <c r="F46" s="65"/>
      <c r="G46" s="65"/>
      <c r="H46" s="42" t="s">
        <v>74</v>
      </c>
      <c r="I46" s="42"/>
      <c r="J46" s="42"/>
      <c r="K46" s="42"/>
      <c r="L46" s="42"/>
      <c r="M46" s="42"/>
      <c r="N46" s="42"/>
      <c r="O46" s="42"/>
      <c r="P46" s="42"/>
      <c r="Q46" s="42"/>
      <c r="R46" s="66"/>
      <c r="S46" s="4">
        <f>SUM(S30:S45)</f>
        <v>0</v>
      </c>
      <c r="T46" s="4"/>
      <c r="U46" s="67"/>
      <c r="V46" s="68"/>
      <c r="W46" s="4" t="s">
        <v>75</v>
      </c>
      <c r="X46" s="4"/>
      <c r="Y46" s="4"/>
      <c r="Z46" s="49" t="s">
        <v>76</v>
      </c>
      <c r="AA46" s="69">
        <f>ROUND(SUM(AA28:AA45), 2)</f>
        <v>0</v>
      </c>
    </row>
    <row r="47" spans="1:27" x14ac:dyDescent="0.25">
      <c r="A47" s="70" t="str">
        <f>INT(SUM(S30:S45)) &amp; " BOX"</f>
        <v>0BOX</v>
      </c>
      <c r="B47" s="70"/>
      <c r="C47" s="70"/>
      <c r="D47" s="70"/>
      <c r="E47" s="70"/>
      <c r="F47" s="70"/>
      <c r="G47" s="70"/>
      <c r="H47" s="42"/>
      <c r="I47" s="42"/>
      <c r="J47" s="42"/>
      <c r="K47" s="42"/>
      <c r="L47" s="42"/>
      <c r="M47" s="42"/>
      <c r="N47" s="42"/>
      <c r="O47" s="42"/>
      <c r="P47" s="42"/>
      <c r="Q47" s="42"/>
      <c r="R47" s="71"/>
      <c r="S47" s="27" t="s">
        <v>58</v>
      </c>
      <c r="T47" s="27"/>
      <c r="U47" s="72"/>
      <c r="V47" s="73"/>
      <c r="W47" s="27">
        <f>SUM(Y30:Y45)</f>
        <v>0</v>
      </c>
      <c r="X47" s="27"/>
      <c r="Y47" s="27"/>
      <c r="Z47" s="49"/>
      <c r="AA47" s="69"/>
    </row>
    <row r="48" spans="1:27" x14ac:dyDescent="0.25">
      <c r="A48" s="74" t="s">
        <v>77</v>
      </c>
      <c r="B48" s="74"/>
      <c r="C48" s="74"/>
      <c r="D48" s="74"/>
      <c r="E48" s="74"/>
      <c r="F48" s="74"/>
      <c r="G48" s="74"/>
      <c r="H48" s="74"/>
      <c r="I48" s="74"/>
      <c r="J48" s="74"/>
      <c r="K48" s="74"/>
      <c r="L48" s="74"/>
      <c r="M48" s="74"/>
      <c r="N48" s="74"/>
      <c r="O48" s="74"/>
      <c r="P48" s="74"/>
      <c r="Q48" s="74"/>
      <c r="R48" s="75"/>
      <c r="S48" s="45"/>
      <c r="T48" s="57"/>
      <c r="U48" s="57"/>
      <c r="V48" s="57"/>
      <c r="W48" s="57"/>
      <c r="X48" s="57"/>
      <c r="Y48" s="46"/>
      <c r="Z48" s="75"/>
      <c r="AA48" s="76"/>
    </row>
    <row r="49" spans="1:27" x14ac:dyDescent="0.25">
      <c r="A49" s="77" t="s">
        <v>78</v>
      </c>
      <c r="B49" s="77"/>
      <c r="C49" s="77"/>
      <c r="D49" s="77"/>
      <c r="E49" s="77"/>
      <c r="F49" s="77"/>
      <c r="G49" s="77"/>
      <c r="H49" s="77"/>
      <c r="I49" s="77"/>
      <c r="J49" s="77"/>
      <c r="K49" s="77"/>
      <c r="L49" s="77"/>
      <c r="M49" s="77"/>
      <c r="N49" s="77"/>
      <c r="O49" s="77"/>
      <c r="P49" s="77"/>
      <c r="Q49" s="77"/>
      <c r="R49" s="44"/>
      <c r="S49" s="45"/>
      <c r="T49" s="57"/>
      <c r="U49" s="57"/>
      <c r="V49" s="57"/>
      <c r="W49" s="57"/>
      <c r="X49" s="57"/>
      <c r="Y49" s="46"/>
      <c r="Z49" s="75"/>
      <c r="AA49" s="76"/>
    </row>
    <row r="50" spans="1:27" x14ac:dyDescent="0.25">
      <c r="A50" s="77"/>
      <c r="B50" s="77"/>
      <c r="C50" s="77"/>
      <c r="D50" s="77"/>
      <c r="E50" s="77"/>
      <c r="F50" s="77"/>
      <c r="G50" s="77"/>
      <c r="H50" s="77"/>
      <c r="I50" s="77"/>
      <c r="J50" s="77"/>
      <c r="K50" s="77"/>
      <c r="L50" s="77"/>
      <c r="M50" s="77"/>
      <c r="N50" s="77"/>
      <c r="O50" s="77"/>
      <c r="P50" s="77"/>
      <c r="Q50" s="77"/>
      <c r="R50" s="44"/>
      <c r="S50" s="78" t="s">
        <v>79</v>
      </c>
      <c r="T50" s="78"/>
      <c r="U50" s="78"/>
      <c r="V50" s="78"/>
      <c r="W50" s="78"/>
      <c r="X50" s="78"/>
      <c r="Y50" s="78"/>
      <c r="AA50" s="79">
        <f>ROUND(SUM(AA45:AA46), 4)</f>
        <v>0</v>
      </c>
    </row>
    <row r="51" spans="1:27" x14ac:dyDescent="0.25">
      <c r="A51" s="80" t="s">
        <v>80</v>
      </c>
      <c r="B51" s="80"/>
      <c r="C51" s="80"/>
      <c r="D51" s="80"/>
      <c r="E51" s="80"/>
      <c r="F51" s="80"/>
      <c r="G51" s="80"/>
      <c r="H51" s="80"/>
      <c r="I51" s="80"/>
      <c r="J51" s="80"/>
      <c r="K51" s="80"/>
      <c r="L51" s="80"/>
      <c r="M51" s="80"/>
      <c r="N51" s="80"/>
      <c r="O51" s="80"/>
      <c r="P51" s="80"/>
      <c r="Q51" s="80"/>
      <c r="R51" s="80"/>
      <c r="S51" s="80"/>
      <c r="T51" s="80"/>
      <c r="U51" s="80"/>
      <c r="V51" s="80"/>
      <c r="W51" s="80"/>
      <c r="X51" s="80"/>
      <c r="Y51" s="80"/>
      <c r="Z51" s="80"/>
      <c r="AA51" s="80"/>
    </row>
    <row r="52" spans="1:27" x14ac:dyDescent="0.25">
      <c r="A52" s="81" t="s">
        <v>81</v>
      </c>
      <c r="B52" s="81"/>
      <c r="C52" s="81"/>
      <c r="D52" s="81"/>
      <c r="E52" s="81"/>
      <c r="F52" s="81"/>
      <c r="G52" s="81"/>
      <c r="H52" s="81"/>
      <c r="I52" s="81"/>
      <c r="J52" s="81"/>
      <c r="K52" s="81"/>
      <c r="L52" s="81"/>
      <c r="M52" s="81"/>
      <c r="N52" s="81"/>
      <c r="O52" s="81"/>
      <c r="P52" s="81"/>
      <c r="Q52" s="81"/>
      <c r="R52" s="81"/>
      <c r="S52" s="81"/>
      <c r="T52" s="81"/>
      <c r="U52" s="81"/>
      <c r="V52" s="81"/>
      <c r="W52" s="81"/>
      <c r="X52" s="81"/>
      <c r="Y52" s="81"/>
      <c r="Z52" s="81"/>
      <c r="AA52" s="81"/>
    </row>
    <row r="53" spans="1:27" x14ac:dyDescent="0.25">
      <c r="A53" s="81"/>
      <c r="B53" s="81"/>
      <c r="C53" s="81"/>
      <c r="D53" s="81"/>
      <c r="E53" s="81"/>
      <c r="F53" s="81"/>
      <c r="G53" s="81"/>
      <c r="H53" s="81"/>
      <c r="I53" s="81"/>
      <c r="J53" s="81"/>
      <c r="K53" s="81"/>
      <c r="L53" s="81"/>
      <c r="M53" s="81"/>
      <c r="N53" s="81"/>
      <c r="O53" s="81"/>
      <c r="P53" s="81"/>
      <c r="Q53" s="81"/>
      <c r="R53" s="81"/>
      <c r="S53" s="81"/>
      <c r="T53" s="81"/>
      <c r="U53" s="81"/>
      <c r="V53" s="81"/>
      <c r="W53" s="81"/>
      <c r="X53" s="81"/>
      <c r="Y53" s="81"/>
      <c r="Z53" s="81"/>
      <c r="AA53" s="81"/>
    </row>
    <row r="54" spans="1:27" x14ac:dyDescent="0.25">
      <c r="A54" s="82" t="s">
        <v>82</v>
      </c>
      <c r="B54" s="82"/>
      <c r="C54" s="82"/>
      <c r="D54" s="82"/>
      <c r="E54" s="82"/>
      <c r="F54" s="82"/>
      <c r="G54" s="82"/>
      <c r="H54" s="82"/>
      <c r="I54" s="82"/>
      <c r="J54" s="82"/>
      <c r="K54" s="82"/>
      <c r="L54" s="82"/>
      <c r="M54" s="82"/>
      <c r="N54" s="82"/>
      <c r="O54" s="82"/>
      <c r="P54" s="82"/>
      <c r="Q54" s="82"/>
      <c r="R54" s="82" t="s">
        <v>83</v>
      </c>
      <c r="S54" s="82"/>
      <c r="T54" s="82"/>
      <c r="U54" s="82"/>
      <c r="V54" s="82"/>
      <c r="W54" s="82"/>
      <c r="X54" s="82"/>
      <c r="Y54" s="82"/>
      <c r="Z54" s="82"/>
      <c r="AA54" s="82"/>
    </row>
    <row r="55" spans="1:27" x14ac:dyDescent="0.25">
      <c r="A55" s="82" t="s">
        <v>84</v>
      </c>
      <c r="B55" s="82"/>
      <c r="C55" s="82"/>
      <c r="D55" s="82"/>
      <c r="E55" s="82"/>
      <c r="F55" s="82"/>
      <c r="G55" s="83" t="s">
        <v>85</v>
      </c>
      <c r="H55" s="83"/>
      <c r="I55" s="83"/>
      <c r="J55" s="83"/>
      <c r="K55" s="83"/>
      <c r="L55" s="83"/>
      <c r="M55" s="83"/>
      <c r="N55" s="83"/>
      <c r="O55" s="83"/>
      <c r="P55" s="83"/>
      <c r="Q55" s="83"/>
      <c r="R55" s="82" t="s">
        <v>84</v>
      </c>
      <c r="S55" s="82"/>
      <c r="T55" s="82"/>
      <c r="U55" s="82"/>
      <c r="V55" s="84" t="s">
        <v>86</v>
      </c>
      <c r="W55" s="84"/>
      <c r="X55" s="84"/>
      <c r="Y55" s="84"/>
      <c r="Z55" s="84"/>
      <c r="AA55" s="84"/>
    </row>
    <row r="56" spans="1:27" x14ac:dyDescent="0.25">
      <c r="A56" s="82" t="s">
        <v>87</v>
      </c>
      <c r="B56" s="82"/>
      <c r="C56" s="82"/>
      <c r="D56" s="82"/>
      <c r="E56" s="82"/>
      <c r="F56" s="82"/>
      <c r="G56" s="83" t="s">
        <v>88</v>
      </c>
      <c r="H56" s="83"/>
      <c r="I56" s="83"/>
      <c r="J56" s="83"/>
      <c r="K56" s="83"/>
      <c r="L56" s="83"/>
      <c r="M56" s="83"/>
      <c r="N56" s="83"/>
      <c r="O56" s="83"/>
      <c r="P56" s="83"/>
      <c r="Q56" s="83"/>
      <c r="R56" s="82" t="s">
        <v>87</v>
      </c>
      <c r="S56" s="82"/>
      <c r="T56" s="82"/>
      <c r="U56" s="82"/>
      <c r="V56" s="84" t="s">
        <v>89</v>
      </c>
      <c r="W56" s="84"/>
      <c r="X56" s="84"/>
      <c r="Y56" s="84"/>
      <c r="Z56" s="84"/>
      <c r="AA56" s="84"/>
    </row>
    <row r="57" spans="1:27" x14ac:dyDescent="0.25">
      <c r="A57" s="82" t="s">
        <v>90</v>
      </c>
      <c r="B57" s="82"/>
      <c r="C57" s="82"/>
      <c r="D57" s="82"/>
      <c r="E57" s="82"/>
      <c r="F57" s="82"/>
      <c r="G57" s="83" t="s">
        <v>91</v>
      </c>
      <c r="H57" s="83"/>
      <c r="I57" s="83"/>
      <c r="J57" s="83"/>
      <c r="K57" s="83"/>
      <c r="L57" s="83" t="s">
        <v>92</v>
      </c>
      <c r="M57" s="83"/>
      <c r="N57" s="83"/>
      <c r="O57" s="83"/>
      <c r="P57" s="83"/>
      <c r="Q57" s="83"/>
      <c r="R57" s="82" t="s">
        <v>90</v>
      </c>
      <c r="S57" s="82"/>
      <c r="T57" s="82"/>
      <c r="U57" s="82"/>
      <c r="V57" s="83" t="s">
        <v>93</v>
      </c>
      <c r="W57" s="83"/>
      <c r="X57" s="83"/>
      <c r="Y57" s="83"/>
      <c r="Z57" s="84" t="s">
        <v>92</v>
      </c>
      <c r="AA57" s="84"/>
    </row>
    <row r="58" spans="1:27" x14ac:dyDescent="0.25">
      <c r="A58" s="82" t="s">
        <v>94</v>
      </c>
      <c r="B58" s="82"/>
      <c r="C58" s="82"/>
      <c r="D58" s="82"/>
      <c r="E58" s="82"/>
      <c r="F58" s="82"/>
      <c r="G58" s="82"/>
      <c r="H58" s="82"/>
      <c r="I58" s="82"/>
      <c r="J58" s="82"/>
      <c r="K58" s="82"/>
      <c r="L58" s="82"/>
      <c r="M58" s="82"/>
      <c r="N58" s="82"/>
      <c r="O58" s="82"/>
      <c r="P58" s="82"/>
      <c r="Q58" s="82"/>
      <c r="R58" s="85" t="s">
        <v>95</v>
      </c>
      <c r="S58" s="85"/>
      <c r="T58" s="85"/>
      <c r="U58" s="85"/>
      <c r="V58" s="85"/>
      <c r="W58" s="85"/>
      <c r="X58" s="85"/>
      <c r="Y58" s="85"/>
      <c r="Z58" s="85"/>
      <c r="AA58" s="85"/>
    </row>
    <row r="59" spans="1:27" x14ac:dyDescent="0.25">
      <c r="A59" s="82" t="s">
        <v>84</v>
      </c>
      <c r="B59" s="82"/>
      <c r="C59" s="82"/>
      <c r="D59" s="82"/>
      <c r="E59" s="82"/>
      <c r="F59" s="82"/>
      <c r="G59" s="83" t="s">
        <v>96</v>
      </c>
      <c r="H59" s="83"/>
      <c r="I59" s="83"/>
      <c r="J59" s="83"/>
      <c r="K59" s="83"/>
      <c r="L59" s="83"/>
      <c r="M59" s="83"/>
      <c r="N59" s="83"/>
      <c r="O59" s="83"/>
      <c r="P59" s="83"/>
      <c r="Q59" s="83"/>
      <c r="R59" s="86" t="s">
        <v>97</v>
      </c>
      <c r="S59" s="86"/>
      <c r="T59" s="86"/>
      <c r="U59" s="86"/>
      <c r="V59" s="86"/>
      <c r="W59" s="86"/>
      <c r="X59" s="86"/>
      <c r="Y59" s="86"/>
      <c r="Z59" s="86"/>
      <c r="AA59" s="86"/>
    </row>
    <row r="60" spans="1:27" x14ac:dyDescent="0.25">
      <c r="A60" s="82" t="s">
        <v>87</v>
      </c>
      <c r="B60" s="82"/>
      <c r="C60" s="82"/>
      <c r="D60" s="82"/>
      <c r="E60" s="82"/>
      <c r="F60" s="82"/>
      <c r="G60" s="83" t="s">
        <v>98</v>
      </c>
      <c r="H60" s="83"/>
      <c r="I60" s="83"/>
      <c r="J60" s="83"/>
      <c r="K60" s="83"/>
      <c r="L60" s="83"/>
      <c r="M60" s="83"/>
      <c r="N60" s="83"/>
      <c r="O60" s="83"/>
      <c r="P60" s="83"/>
      <c r="Q60" s="83"/>
      <c r="R60" s="12"/>
      <c r="AA60" s="87"/>
    </row>
    <row r="61" spans="1:27" x14ac:dyDescent="0.25">
      <c r="A61" s="82" t="s">
        <v>90</v>
      </c>
      <c r="B61" s="82"/>
      <c r="C61" s="82"/>
      <c r="D61" s="82"/>
      <c r="E61" s="82"/>
      <c r="F61" s="82"/>
      <c r="G61" s="83" t="s">
        <v>99</v>
      </c>
      <c r="H61" s="83"/>
      <c r="I61" s="83"/>
      <c r="J61" s="83"/>
      <c r="K61" s="83"/>
      <c r="L61" s="83" t="s">
        <v>92</v>
      </c>
      <c r="M61" s="83"/>
      <c r="N61" s="83"/>
      <c r="O61" s="83"/>
      <c r="P61" s="83"/>
      <c r="Q61" s="83"/>
      <c r="R61" s="12"/>
      <c r="AA61" s="87"/>
    </row>
    <row r="62" spans="1:27" x14ac:dyDescent="0.25">
      <c r="A62" s="88"/>
      <c r="B62" s="57"/>
      <c r="C62" s="57"/>
      <c r="D62" s="57"/>
      <c r="E62" s="57"/>
      <c r="F62" s="57"/>
      <c r="G62" s="57"/>
      <c r="H62" s="57"/>
      <c r="I62" s="57"/>
      <c r="J62" s="57"/>
      <c r="K62" s="57"/>
      <c r="L62" s="57"/>
      <c r="M62" s="57"/>
      <c r="N62" s="57"/>
      <c r="O62" s="57"/>
      <c r="P62" s="57"/>
      <c r="Q62" s="46"/>
      <c r="R62" s="12"/>
      <c r="AA62" s="87"/>
    </row>
    <row r="63" spans="1:27" x14ac:dyDescent="0.25">
      <c r="A63" s="89" t="s">
        <v>100</v>
      </c>
      <c r="B63" s="89"/>
      <c r="C63" s="89"/>
      <c r="D63" s="89"/>
      <c r="E63" s="89"/>
      <c r="F63" s="89"/>
      <c r="G63" s="89"/>
      <c r="H63" s="89"/>
      <c r="I63" s="89"/>
      <c r="J63" s="89"/>
      <c r="K63" s="89"/>
      <c r="L63" s="89"/>
      <c r="M63" s="89"/>
      <c r="N63" s="89"/>
      <c r="O63" s="89"/>
      <c r="P63" s="89"/>
      <c r="Q63" s="89"/>
      <c r="R63" s="12"/>
      <c r="AA63" s="87"/>
    </row>
    <row r="64" spans="1:27" x14ac:dyDescent="0.25">
      <c r="A64" s="89"/>
      <c r="B64" s="89"/>
      <c r="C64" s="89"/>
      <c r="D64" s="89"/>
      <c r="E64" s="89"/>
      <c r="F64" s="89"/>
      <c r="G64" s="89"/>
      <c r="H64" s="89"/>
      <c r="I64" s="89"/>
      <c r="J64" s="89"/>
      <c r="K64" s="89"/>
      <c r="L64" s="89"/>
      <c r="M64" s="89"/>
      <c r="N64" s="89"/>
      <c r="O64" s="89"/>
      <c r="P64" s="89"/>
      <c r="Q64" s="89"/>
      <c r="R64" s="90" t="s">
        <v>101</v>
      </c>
      <c r="S64" s="90"/>
      <c r="T64" s="90"/>
      <c r="U64" s="90"/>
      <c r="V64" s="90"/>
      <c r="W64" s="90"/>
      <c r="X64" s="90"/>
      <c r="Y64" s="90"/>
      <c r="Z64" s="90"/>
      <c r="AA64" s="90"/>
    </row>
  </sheetData>
  <mergeCells count="134">
    <mergeCell ref="A1:AA1"/>
    <mergeCell ref="A2:AA2"/>
    <mergeCell ref="A3:N3"/>
    <mergeCell ref="O3:T3"/>
    <mergeCell ref="U3:AA3"/>
    <mergeCell ref="A4:N10"/>
    <mergeCell ref="O4:T4"/>
    <mergeCell ref="U4:AA12"/>
    <mergeCell ref="O5:T5"/>
    <mergeCell ref="O6:T6"/>
    <mergeCell ref="O7:T8"/>
    <mergeCell ref="A11:B11"/>
    <mergeCell ref="C11:N11"/>
    <mergeCell ref="A12:B12"/>
    <mergeCell ref="C12:N12"/>
    <mergeCell ref="O12:T12"/>
    <mergeCell ref="A13:N13"/>
    <mergeCell ref="O13:AA13"/>
    <mergeCell ref="A14:N19"/>
    <mergeCell ref="O14:AA19"/>
    <mergeCell ref="A20:G20"/>
    <mergeCell ref="H20:N20"/>
    <mergeCell ref="O20:V20"/>
    <mergeCell ref="W20:AA20"/>
    <mergeCell ref="A21:G21"/>
    <mergeCell ref="H21:N21"/>
    <mergeCell ref="O21:V21"/>
    <mergeCell ref="W21:AA21"/>
    <mergeCell ref="A22:G22"/>
    <mergeCell ref="H22:N22"/>
    <mergeCell ref="O22:AA22"/>
    <mergeCell ref="A23:G23"/>
    <mergeCell ref="H23:N23"/>
    <mergeCell ref="O23:AA23"/>
    <mergeCell ref="A24:G24"/>
    <mergeCell ref="H24:N24"/>
    <mergeCell ref="O24:AA25"/>
    <mergeCell ref="A25:G26"/>
    <mergeCell ref="H25:N26"/>
    <mergeCell ref="O26:U26"/>
    <mergeCell ref="W26:Y26"/>
    <mergeCell ref="Z26:AA26"/>
    <mergeCell ref="A27:D27"/>
    <mergeCell ref="E27:Q28"/>
    <mergeCell ref="S27:T27"/>
    <mergeCell ref="U27:V27"/>
    <mergeCell ref="W27:X27"/>
    <mergeCell ref="A28:D28"/>
    <mergeCell ref="S28:T28"/>
    <mergeCell ref="U28:V28"/>
    <mergeCell ref="W28:X28"/>
    <mergeCell ref="B29:D29"/>
    <mergeCell ref="E29:Q29"/>
    <mergeCell ref="B30:D30"/>
    <mergeCell ref="E30:Q30"/>
    <mergeCell ref="S30:T30"/>
    <mergeCell ref="U30:V30"/>
    <mergeCell ref="W30:X30"/>
    <mergeCell ref="B31:D31"/>
    <mergeCell ref="E31:Q31"/>
    <mergeCell ref="S31:T31"/>
    <mergeCell ref="U31:V31"/>
    <mergeCell ref="W31:X31"/>
    <mergeCell ref="E32:Q32"/>
    <mergeCell ref="B33:D33"/>
    <mergeCell ref="E33:Q33"/>
    <mergeCell ref="S33:T33"/>
    <mergeCell ref="U33:V33"/>
    <mergeCell ref="W33:X33"/>
    <mergeCell ref="E34:Q34"/>
    <mergeCell ref="B35:D35"/>
    <mergeCell ref="E35:Q35"/>
    <mergeCell ref="S35:T35"/>
    <mergeCell ref="U35:V35"/>
    <mergeCell ref="W35:X35"/>
    <mergeCell ref="A36:D43"/>
    <mergeCell ref="E39:Q39"/>
    <mergeCell ref="S39:T45"/>
    <mergeCell ref="U39:V45"/>
    <mergeCell ref="W39:X45"/>
    <mergeCell ref="E40:Q41"/>
    <mergeCell ref="R39:R45"/>
    <mergeCell ref="Y39:Y45"/>
    <mergeCell ref="Z39:Z45"/>
    <mergeCell ref="AA39:AA45"/>
    <mergeCell ref="E42:Q43"/>
    <mergeCell ref="A44:E44"/>
    <mergeCell ref="F44:H44"/>
    <mergeCell ref="I44:Q44"/>
    <mergeCell ref="A45:E45"/>
    <mergeCell ref="F45:H45"/>
    <mergeCell ref="I45:Q45"/>
    <mergeCell ref="A46:G46"/>
    <mergeCell ref="H46:Q47"/>
    <mergeCell ref="S46:T46"/>
    <mergeCell ref="W46:Y46"/>
    <mergeCell ref="A47:G47"/>
    <mergeCell ref="S47:T47"/>
    <mergeCell ref="W47:Y47"/>
    <mergeCell ref="Z46:Z47"/>
    <mergeCell ref="AA46:AA47"/>
    <mergeCell ref="A48:Q48"/>
    <mergeCell ref="A49:Q50"/>
    <mergeCell ref="S50:Y50"/>
    <mergeCell ref="A51:AA51"/>
    <mergeCell ref="A52:AA53"/>
    <mergeCell ref="A54:Q54"/>
    <mergeCell ref="R54:AA54"/>
    <mergeCell ref="A55:F55"/>
    <mergeCell ref="G55:Q55"/>
    <mergeCell ref="R55:U55"/>
    <mergeCell ref="V55:AA55"/>
    <mergeCell ref="A56:F56"/>
    <mergeCell ref="G56:Q56"/>
    <mergeCell ref="R56:U56"/>
    <mergeCell ref="V56:AA56"/>
    <mergeCell ref="A57:F57"/>
    <mergeCell ref="G57:K57"/>
    <mergeCell ref="L57:Q57"/>
    <mergeCell ref="R57:U57"/>
    <mergeCell ref="V57:Y57"/>
    <mergeCell ref="Z57:AA57"/>
    <mergeCell ref="A58:Q58"/>
    <mergeCell ref="R58:AA58"/>
    <mergeCell ref="A59:F59"/>
    <mergeCell ref="G59:Q59"/>
    <mergeCell ref="R59:AA59"/>
    <mergeCell ref="A60:F60"/>
    <mergeCell ref="G60:Q60"/>
    <mergeCell ref="A61:F61"/>
    <mergeCell ref="G61:K61"/>
    <mergeCell ref="L61:Q61"/>
    <mergeCell ref="A63:Q64"/>
    <mergeCell ref="R64:AA64"/>
  </mergeCells>
  <printOptions horizontalCentered="1"/>
  <pageMargins left="0.2" right="0.2" top="0.4" bottom="0.4" header="0.2" footer="0.2"/>
  <pageSetup paperSize="9" orientation="portrait" fitToWidth="1" fitToHeight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COPY OF CUSTOM INVOICE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2025-08-16T06:44:38Z</dcterms:created>
  <dcterms:modified xsi:type="dcterms:W3CDTF">2025-08-16T06:44:38Z</dcterms:modified>
</cp:coreProperties>
</file>