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<sst xmlns="http://schemas.openxmlformats.org/spreadsheetml/2006/main" count="93" uniqueCount="80">
  <si>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</si>
  <si>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</si>
  <si>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</si>
  <si>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</si>
  <si>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</si>
  <si>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</si>
  <si>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INV/0098/2024-25</t>
  </si>
  <si>
    <t xml:space="preserve">I. E. Code #: AACFZ6694H
PAN No #: AACFZ6694H
GSTIN No #: 24AACFZ6694H1ZP
STATE CODE : 24</t>
  </si>
  <si>
    <t>Dt. 15.08.2025</t>
  </si>
  <si>
    <t>Buyer's Order no. &amp; Date</t>
  </si>
  <si>
    <t>zala    2025-08-15</t>
  </si>
  <si>
    <t>EMAIL:</t>
  </si>
  <si>
    <t>info@zericceramic.com</t>
  </si>
  <si>
    <t>TAX ID:</t>
  </si>
  <si>
    <t>24AACFZ6694H1ZP</t>
  </si>
  <si>
    <t>PO No: aq</t>
  </si>
  <si>
    <t>Consignee:</t>
  </si>
  <si>
    <t>Notify Party # :</t>
  </si>
  <si>
    <t>zala</t>
  </si>
  <si>
    <t>544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</si>
  <si>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</si>
  <si>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</si>
  <si>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</si>
  <si>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</si>
  <si>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</si>
  <si>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</si>
  <si>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</si>
  <si>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</si>
  <si>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</si>
  <si>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</si>
  <si>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</si>
  <si>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CIF AT Hazira Port PORT</t>
  </si>
  <si>
    <t>Port of Discharge</t>
  </si>
  <si>
    <t>Final Destination</t>
  </si>
  <si>
    <t>sss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</si>
  <si>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</si>
  <si>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</si>
  <si>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</si>
  <si>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</si>
  <si>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</si>
  <si>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</si>
  <si>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</si>
  <si>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</si>
  <si>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</si>
  <si>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10 X 20' FCL</t>
  </si>
  <si>
    <t>PKGS</t>
  </si>
  <si>
    <t>BOX</t>
  </si>
  <si>
    <t>UNIT (USD)</t>
  </si>
  <si>
    <t>IN (USD)</t>
  </si>
  <si>
    <t>SR NO.</t>
  </si>
  <si>
    <t>HSN CODE</t>
  </si>
  <si>
    <t>CERAMIC SANITARYWARE</t>
  </si>
  <si>
    <t>azsxde</t>
  </si>
  <si>
    <t>zaws</t>
  </si>
  <si>
    <t>BATH WARE</t>
  </si>
  <si>
    <t>zasx</t>
  </si>
  <si>
    <t>wsdd</t>
  </si>
  <si>
    <t>CARTON</t>
  </si>
  <si>
    <t>CELLING FAN ITC</t>
  </si>
  <si>
    <t>wse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</si>
  <si>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</si>
  <si>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</si>
  <si>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</si>
  <si>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</si>
  <si>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</si>
  <si>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</si>
  <si>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</si>
  <si>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</si>
  <si>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</si>
  <si>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</si>
  <si>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INSURANCE</t>
  </si>
  <si>
    <t>FOUR MILLION SIXTY NINE THOUSAND SIX HUNDRED AND SIXTY ONLY.</t>
  </si>
  <si>
    <t>FREIGHT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</si>
  <si>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</si>
  <si>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</si>
  <si>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61972776.69
(TAXABLE CIF INR VALUE 344293203.85@ 18% )                                                                            61972776.69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</si>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</sst>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56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2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31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 t="s">
        <v>37</v>
      </c>
      <c r="W26" s="33"/>
      <c r="X26" s="33"/>
      <c r="Y26" s="34">
        <v>84.6</v>
      </c>
      <c r="Z26" s="34"/>
      <c r="AA26" s="34"/>
    </row>
    <row r="27" spans="1:27" x14ac:dyDescent="0.25">
      <c r="A27" s="35" t="s">
        <v>38</v>
      </c>
      <c r="B27" s="35"/>
      <c r="C27" s="35"/>
      <c r="D27" s="35"/>
      <c r="E27" s="36" t="s">
        <v>39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40</v>
      </c>
      <c r="S27" s="37"/>
      <c r="T27" s="37" t="s">
        <v>41</v>
      </c>
      <c r="U27" s="37"/>
      <c r="V27" s="37" t="s">
        <v>42</v>
      </c>
      <c r="W27" s="37"/>
      <c r="X27" s="37"/>
      <c r="Y27" s="38" t="s">
        <v>43</v>
      </c>
      <c r="Z27" s="38"/>
      <c r="AA27" s="38"/>
    </row>
    <row r="28" ht="24" customHeight="1" spans="1:27" x14ac:dyDescent="0.25">
      <c r="A28" s="39" t="s">
        <v>44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45</v>
      </c>
      <c r="S28" s="40"/>
      <c r="T28" s="40" t="s">
        <v>46</v>
      </c>
      <c r="U28" s="40"/>
      <c r="V28" s="40" t="s">
        <v>47</v>
      </c>
      <c r="W28" s="40"/>
      <c r="X28" s="40"/>
      <c r="Y28" s="41" t="s">
        <v>48</v>
      </c>
      <c r="Z28" s="41"/>
      <c r="AA28" s="41"/>
    </row>
    <row r="29" ht="46" customHeight="1" spans="1:27" x14ac:dyDescent="0.25">
      <c r="A29" s="42" t="s">
        <v>49</v>
      </c>
      <c r="B29" s="43" t="s">
        <v>50</v>
      </c>
      <c r="C29" s="43"/>
      <c r="D29" s="43"/>
      <c r="E29" s="44" t="s">
        <v>51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69101000</v>
      </c>
      <c r="C30" s="50"/>
      <c r="D30" s="50"/>
      <c r="E30" s="51" t="s">
        <v>52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45</v>
      </c>
      <c r="S30" s="51"/>
      <c r="T30" s="52" t="s">
        <v>46</v>
      </c>
      <c r="U30" s="52"/>
      <c r="V30" s="51">
        <v>1270.0222</v>
      </c>
      <c r="W30" s="51"/>
      <c r="X30" s="51"/>
      <c r="Y30" s="53">
        <f>ROUND(R30*V30, 4)</f>
        <v>0</v>
      </c>
      <c r="Z30" s="53"/>
      <c r="AA30" s="53"/>
    </row>
    <row r="31" spans="1:27" x14ac:dyDescent="0.25">
      <c r="A31" s="49">
        <v>2</v>
      </c>
      <c r="B31" s="50">
        <v>69101000</v>
      </c>
      <c r="C31" s="50"/>
      <c r="D31" s="50"/>
      <c r="E31" s="51" t="s">
        <v>53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>
        <v>254</v>
      </c>
      <c r="S31" s="51"/>
      <c r="T31" s="52" t="s">
        <v>46</v>
      </c>
      <c r="U31" s="52"/>
      <c r="V31" s="51">
        <v>147.8386</v>
      </c>
      <c r="W31" s="51"/>
      <c r="X31" s="51"/>
      <c r="Y31" s="53">
        <f>ROUND(R31*V31, 4)</f>
        <v>0</v>
      </c>
      <c r="Z31" s="53"/>
      <c r="AA31" s="53"/>
    </row>
    <row r="32" ht="46" customHeight="1" spans="1:27" x14ac:dyDescent="0.25">
      <c r="A32" s="54"/>
      <c r="B32" s="45"/>
      <c r="C32" s="47"/>
      <c r="D32" s="46"/>
      <c r="E32" s="44" t="s">
        <v>54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6"/>
      <c r="T32" s="45"/>
      <c r="U32" s="46"/>
      <c r="V32" s="45"/>
      <c r="W32" s="47"/>
      <c r="X32" s="46"/>
      <c r="Y32" s="45"/>
      <c r="Z32" s="47"/>
      <c r="AA32" s="48"/>
    </row>
    <row r="33" spans="1:27" x14ac:dyDescent="0.25">
      <c r="A33" s="49">
        <v>3</v>
      </c>
      <c r="B33" s="50">
        <v>84818020</v>
      </c>
      <c r="C33" s="50"/>
      <c r="D33" s="50"/>
      <c r="E33" s="51" t="s">
        <v>55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>
        <v>1254</v>
      </c>
      <c r="S33" s="51"/>
      <c r="T33" s="52" t="s">
        <v>46</v>
      </c>
      <c r="U33" s="52"/>
      <c r="V33" s="51">
        <v>854.575</v>
      </c>
      <c r="W33" s="51"/>
      <c r="X33" s="51"/>
      <c r="Y33" s="53">
        <f>ROUND(R33*V33, 4)</f>
        <v>0</v>
      </c>
      <c r="Z33" s="53"/>
      <c r="AA33" s="53"/>
    </row>
    <row r="34" spans="1:27" x14ac:dyDescent="0.25">
      <c r="A34" s="49">
        <v>4</v>
      </c>
      <c r="B34" s="50">
        <v>84818020</v>
      </c>
      <c r="C34" s="50"/>
      <c r="D34" s="50"/>
      <c r="E34" s="51" t="s">
        <v>56</v>
      </c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>
        <v>254</v>
      </c>
      <c r="S34" s="51"/>
      <c r="T34" s="52" t="s">
        <v>57</v>
      </c>
      <c r="U34" s="52"/>
      <c r="V34" s="51">
        <v>247.8386</v>
      </c>
      <c r="W34" s="51"/>
      <c r="X34" s="51"/>
      <c r="Y34" s="53">
        <f>ROUND(R34*V34, 4)</f>
        <v>0</v>
      </c>
      <c r="Z34" s="53"/>
      <c r="AA34" s="53"/>
    </row>
    <row r="35" ht="46" customHeight="1" spans="1:27" x14ac:dyDescent="0.25">
      <c r="A35" s="54"/>
      <c r="B35" s="45"/>
      <c r="C35" s="47"/>
      <c r="D35" s="46"/>
      <c r="E35" s="44" t="s">
        <v>58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5"/>
      <c r="S35" s="46"/>
      <c r="T35" s="45"/>
      <c r="U35" s="46"/>
      <c r="V35" s="45"/>
      <c r="W35" s="47"/>
      <c r="X35" s="46"/>
      <c r="Y35" s="45"/>
      <c r="Z35" s="47"/>
      <c r="AA35" s="48"/>
    </row>
    <row r="36" spans="1:27" x14ac:dyDescent="0.25">
      <c r="A36" s="49">
        <v>5</v>
      </c>
      <c r="B36" s="50">
        <v>84145120</v>
      </c>
      <c r="C36" s="50"/>
      <c r="D36" s="50"/>
      <c r="E36" s="51" t="s">
        <v>55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>
        <v>452</v>
      </c>
      <c r="S36" s="51"/>
      <c r="T36" s="52" t="s">
        <v>46</v>
      </c>
      <c r="U36" s="52"/>
      <c r="V36" s="51">
        <v>2452.5951</v>
      </c>
      <c r="W36" s="51"/>
      <c r="X36" s="51"/>
      <c r="Y36" s="53">
        <f>ROUND(R36*V36, 4)</f>
        <v>0</v>
      </c>
      <c r="Z36" s="53"/>
      <c r="AA36" s="53"/>
    </row>
    <row r="37" spans="1:27" x14ac:dyDescent="0.25">
      <c r="A37" s="49">
        <v>6</v>
      </c>
      <c r="B37" s="50">
        <v>84145120</v>
      </c>
      <c r="C37" s="50"/>
      <c r="D37" s="50"/>
      <c r="E37" s="51" t="s">
        <v>59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>
        <v>1254</v>
      </c>
      <c r="S37" s="51"/>
      <c r="T37" s="52" t="s">
        <v>46</v>
      </c>
      <c r="U37" s="52"/>
      <c r="V37" s="51">
        <v>1198.858</v>
      </c>
      <c r="W37" s="51"/>
      <c r="X37" s="51"/>
      <c r="Y37" s="53">
        <f>ROUND(R37*V37, 4)</f>
        <v>0</v>
      </c>
      <c r="Z37" s="53"/>
      <c r="AA37" s="53"/>
    </row>
    <row r="38" spans="1:27" x14ac:dyDescent="0.25">
      <c r="A38" s="55"/>
      <c r="B38" s="55"/>
      <c r="C38" s="55"/>
      <c r="D38" s="55"/>
      <c r="E38" s="45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6"/>
      <c r="R38" s="45"/>
      <c r="S38" s="46"/>
      <c r="T38" s="45"/>
      <c r="U38" s="46"/>
      <c r="V38" s="45"/>
      <c r="W38" s="47"/>
      <c r="X38" s="46"/>
      <c r="Y38" s="45"/>
      <c r="Z38" s="47"/>
      <c r="AA38" s="48"/>
    </row>
    <row r="39" spans="1:27" x14ac:dyDescent="0.25">
      <c r="A39" s="55"/>
      <c r="B39" s="55"/>
      <c r="C39" s="55"/>
      <c r="D39" s="55"/>
      <c r="E39" s="45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6"/>
      <c r="R39" s="45"/>
      <c r="S39" s="46"/>
      <c r="T39" s="45"/>
      <c r="U39" s="46"/>
      <c r="V39" s="45"/>
      <c r="W39" s="47"/>
      <c r="X39" s="46"/>
      <c r="Y39" s="45"/>
      <c r="Z39" s="47"/>
      <c r="AA39" s="48"/>
    </row>
    <row r="40" spans="1:27" x14ac:dyDescent="0.25">
      <c r="A40" s="55"/>
      <c r="B40" s="55"/>
      <c r="C40" s="55"/>
      <c r="D40" s="55"/>
      <c r="E40" s="56" t="s">
        <v>60</v>
      </c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7"/>
      <c r="S40" s="57"/>
      <c r="T40" s="57"/>
      <c r="U40" s="57"/>
      <c r="V40" s="57"/>
      <c r="W40" s="57"/>
      <c r="X40" s="57"/>
      <c r="Y40" s="58"/>
      <c r="Z40" s="58"/>
      <c r="AA40" s="58"/>
    </row>
    <row r="41" spans="1:27" x14ac:dyDescent="0.25">
      <c r="A41" s="55"/>
      <c r="B41" s="55"/>
      <c r="C41" s="55"/>
      <c r="D41" s="55"/>
      <c r="E41" s="50" t="s">
        <v>61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7"/>
      <c r="S41" s="57"/>
      <c r="T41" s="57"/>
      <c r="U41" s="57"/>
      <c r="V41" s="57"/>
      <c r="W41" s="57"/>
      <c r="X41" s="57"/>
      <c r="Y41" s="58"/>
      <c r="Z41" s="58"/>
      <c r="AA41" s="58"/>
    </row>
    <row r="42" spans="1:27" x14ac:dyDescent="0.25">
      <c r="A42" s="55"/>
      <c r="B42" s="55"/>
      <c r="C42" s="55"/>
      <c r="D42" s="55"/>
      <c r="E42" s="59" t="s">
        <v>62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7"/>
      <c r="S42" s="57"/>
      <c r="T42" s="57"/>
      <c r="U42" s="57"/>
      <c r="V42" s="57"/>
      <c r="W42" s="57"/>
      <c r="X42" s="57"/>
      <c r="Y42" s="58"/>
      <c r="Z42" s="58"/>
      <c r="AA42" s="58"/>
    </row>
    <row r="43" spans="1:27" x14ac:dyDescent="0.25">
      <c r="A43" s="55"/>
      <c r="B43" s="55"/>
      <c r="C43" s="55"/>
      <c r="D43" s="55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7"/>
      <c r="S43" s="57"/>
      <c r="T43" s="57"/>
      <c r="U43" s="57"/>
      <c r="V43" s="57"/>
      <c r="W43" s="57"/>
      <c r="X43" s="57"/>
      <c r="Y43" s="58"/>
      <c r="Z43" s="58"/>
      <c r="AA43" s="58"/>
    </row>
    <row r="44" spans="1:27" x14ac:dyDescent="0.25">
      <c r="A44" s="55"/>
      <c r="B44" s="55"/>
      <c r="C44" s="55"/>
      <c r="D44" s="55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8"/>
      <c r="Z44" s="58"/>
      <c r="AA44" s="58"/>
    </row>
    <row r="45" spans="1:27" x14ac:dyDescent="0.25">
      <c r="A45" s="55"/>
      <c r="B45" s="55"/>
      <c r="C45" s="55"/>
      <c r="D45" s="55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8"/>
      <c r="Z45" s="58"/>
      <c r="AA45" s="58"/>
    </row>
    <row r="46" spans="1:27" x14ac:dyDescent="0.25">
      <c r="A46" s="60" t="s">
        <v>63</v>
      </c>
      <c r="B46" s="60"/>
      <c r="C46" s="60"/>
      <c r="D46" s="60"/>
      <c r="E46" s="61" t="s">
        <v>64</v>
      </c>
      <c r="F46" s="61"/>
      <c r="G46" s="61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8"/>
      <c r="Z46" s="58"/>
      <c r="AA46" s="58"/>
    </row>
    <row r="47" spans="1:27" x14ac:dyDescent="0.25">
      <c r="A47" s="60" t="s">
        <v>65</v>
      </c>
      <c r="B47" s="60"/>
      <c r="C47" s="60"/>
      <c r="D47" s="60"/>
      <c r="E47" s="61" t="s">
        <v>64</v>
      </c>
      <c r="F47" s="61"/>
      <c r="G47" s="61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8"/>
      <c r="Z47" s="58"/>
      <c r="AA47" s="58"/>
    </row>
    <row r="48" spans="1:27" x14ac:dyDescent="0.25">
      <c r="A48" s="62" t="s">
        <v>66</v>
      </c>
      <c r="B48" s="62"/>
      <c r="C48" s="62"/>
      <c r="D48" s="62"/>
      <c r="E48" s="62"/>
      <c r="F48" s="62"/>
      <c r="G48" s="62"/>
      <c r="H48" s="43" t="s">
        <v>67</v>
      </c>
      <c r="I48" s="43"/>
      <c r="J48" s="43"/>
      <c r="K48" s="43"/>
      <c r="L48" s="43"/>
      <c r="M48" s="43"/>
      <c r="N48" s="43"/>
      <c r="O48" s="43"/>
      <c r="P48" s="43"/>
      <c r="Q48" s="43"/>
      <c r="R48" s="4">
        <f>ROUND(SUM(R30:R47), 2)</f>
        <v>0</v>
      </c>
      <c r="S48" s="4"/>
      <c r="T48" s="43" t="s">
        <v>41</v>
      </c>
      <c r="U48" s="43"/>
      <c r="V48" s="43" t="s">
        <v>68</v>
      </c>
      <c r="W48" s="43"/>
      <c r="X48" s="43"/>
      <c r="Y48" s="63">
        <f>ROUND(SUM(Y30:Y47), 2)</f>
        <v>0</v>
      </c>
      <c r="Z48" s="63"/>
      <c r="AA48" s="63"/>
    </row>
    <row r="49" spans="1:27" x14ac:dyDescent="0.25">
      <c r="A49" s="64" t="str">
        <f>INT(SUM(R30:R47)) &amp; " BOX"</f>
        <v>0BOX</v>
      </c>
      <c r="B49" s="64"/>
      <c r="C49" s="64"/>
      <c r="D49" s="64"/>
      <c r="E49" s="64"/>
      <c r="F49" s="64"/>
      <c r="G49" s="64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26" t="s">
        <v>46</v>
      </c>
      <c r="S49" s="26"/>
      <c r="T49" s="43" t="s">
        <v>46</v>
      </c>
      <c r="U49" s="43"/>
      <c r="V49" s="43"/>
      <c r="W49" s="43"/>
      <c r="X49" s="43"/>
      <c r="Y49" s="63"/>
      <c r="Z49" s="63"/>
      <c r="AA49" s="63"/>
    </row>
    <row r="50" spans="1:27" x14ac:dyDescent="0.25">
      <c r="A50" s="65" t="s">
        <v>69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6" t="s">
        <v>70</v>
      </c>
      <c r="S50" s="66"/>
      <c r="T50" s="66"/>
      <c r="U50" s="66"/>
      <c r="V50" s="66"/>
      <c r="W50" s="66"/>
      <c r="X50" s="66"/>
      <c r="Y50" s="67">
        <v>1789.86</v>
      </c>
      <c r="Z50" s="67"/>
      <c r="AA50" s="67"/>
    </row>
    <row r="51" spans="1:27" x14ac:dyDescent="0.25">
      <c r="A51" s="68" t="s">
        <v>71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6" t="s">
        <v>72</v>
      </c>
      <c r="S51" s="66"/>
      <c r="T51" s="66"/>
      <c r="U51" s="66"/>
      <c r="V51" s="66"/>
      <c r="W51" s="66"/>
      <c r="X51" s="66"/>
      <c r="Y51" s="67">
        <v>2540</v>
      </c>
      <c r="Z51" s="67"/>
      <c r="AA51" s="67"/>
    </row>
    <row r="52" spans="1:27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6" t="s">
        <v>73</v>
      </c>
      <c r="S52" s="66"/>
      <c r="T52" s="66"/>
      <c r="U52" s="66"/>
      <c r="V52" s="66"/>
      <c r="W52" s="66"/>
      <c r="X52" s="66"/>
      <c r="Y52" s="67">
        <f>ROUND(SUM(Y47:Y48), 4)</f>
        <v>0</v>
      </c>
      <c r="Z52" s="67"/>
      <c r="AA52" s="67"/>
    </row>
    <row r="53" spans="1:27" x14ac:dyDescent="0.25">
      <c r="A53" s="69" t="s">
        <v>74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</row>
    <row r="54" spans="1:27" x14ac:dyDescent="0.25">
      <c r="A54" s="70" t="s">
        <v>75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1:27" x14ac:dyDescent="0.2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</row>
    <row r="56" spans="1:27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71" t="s">
        <v>76</v>
      </c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</row>
    <row r="57" spans="1:27" x14ac:dyDescent="0.25">
      <c r="A57" s="55"/>
      <c r="B57" s="55"/>
      <c r="C57" s="55"/>
      <c r="D57" s="55"/>
      <c r="E57" s="55"/>
      <c r="F57" s="57"/>
      <c r="G57" s="57"/>
      <c r="H57" s="57"/>
      <c r="I57" s="57"/>
      <c r="J57" s="57"/>
      <c r="K57" s="57"/>
      <c r="L57" s="57"/>
      <c r="M57" s="57"/>
      <c r="N57" s="72" t="s">
        <v>77</v>
      </c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spans="1:27" x14ac:dyDescent="0.25">
      <c r="A58" s="55"/>
      <c r="B58" s="55"/>
      <c r="C58" s="55"/>
      <c r="D58" s="55"/>
      <c r="E58" s="55"/>
      <c r="F58" s="57"/>
      <c r="G58" s="57"/>
      <c r="H58" s="57"/>
      <c r="I58" s="57"/>
      <c r="J58" s="57"/>
      <c r="K58" s="57"/>
      <c r="L58" s="57"/>
      <c r="M58" s="57"/>
      <c r="N58" s="11"/>
      <c r="AA58" s="73"/>
    </row>
    <row r="59" spans="1:27" x14ac:dyDescent="0.25">
      <c r="A59" s="55"/>
      <c r="B59" s="55"/>
      <c r="C59" s="55"/>
      <c r="D59" s="55"/>
      <c r="E59" s="55"/>
      <c r="F59" s="74"/>
      <c r="G59" s="74"/>
      <c r="H59" s="74"/>
      <c r="I59" s="74"/>
      <c r="J59" s="74"/>
      <c r="K59" s="74"/>
      <c r="L59" s="74"/>
      <c r="M59" s="74"/>
      <c r="N59" s="11"/>
      <c r="AA59" s="73"/>
    </row>
    <row r="60" spans="1:27" x14ac:dyDescent="0.25">
      <c r="A60" s="75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6"/>
      <c r="N60" s="11"/>
      <c r="AA60" s="73"/>
    </row>
    <row r="61" spans="1:27" x14ac:dyDescent="0.25">
      <c r="A61" s="76" t="s">
        <v>78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11"/>
      <c r="AA61" s="73"/>
    </row>
    <row r="62" spans="1:27" x14ac:dyDescent="0.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7" t="s">
        <v>79</v>
      </c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</row>
  </sheetData>
  <mergeCells count="139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E32:Q32"/>
    <mergeCell ref="B33:D33"/>
    <mergeCell ref="E33:Q33"/>
    <mergeCell ref="R33:S33"/>
    <mergeCell ref="T33:U33"/>
    <mergeCell ref="V33:X33"/>
    <mergeCell ref="Y33:AA33"/>
    <mergeCell ref="B34:D34"/>
    <mergeCell ref="E34:Q34"/>
    <mergeCell ref="R34:S34"/>
    <mergeCell ref="T34:U34"/>
    <mergeCell ref="V34:X34"/>
    <mergeCell ref="Y34:AA34"/>
    <mergeCell ref="E35:Q35"/>
    <mergeCell ref="B36:D36"/>
    <mergeCell ref="E36:Q36"/>
    <mergeCell ref="R36:S36"/>
    <mergeCell ref="T36:U36"/>
    <mergeCell ref="V36:X36"/>
    <mergeCell ref="Y36:AA36"/>
    <mergeCell ref="B37:D37"/>
    <mergeCell ref="E37:Q37"/>
    <mergeCell ref="R37:S37"/>
    <mergeCell ref="T37:U37"/>
    <mergeCell ref="V37:X37"/>
    <mergeCell ref="Y37:AA37"/>
    <mergeCell ref="A38:D45"/>
    <mergeCell ref="E40:Q40"/>
    <mergeCell ref="R40:S47"/>
    <mergeCell ref="T40:U47"/>
    <mergeCell ref="V40:X47"/>
    <mergeCell ref="Y40:AA47"/>
    <mergeCell ref="E41:Q41"/>
    <mergeCell ref="E42:Q43"/>
    <mergeCell ref="E44:Q45"/>
    <mergeCell ref="A46:D46"/>
    <mergeCell ref="E46:G46"/>
    <mergeCell ref="H46:Q46"/>
    <mergeCell ref="A47:D47"/>
    <mergeCell ref="E47:G47"/>
    <mergeCell ref="H47:Q47"/>
    <mergeCell ref="A48:G48"/>
    <mergeCell ref="H48:Q49"/>
    <mergeCell ref="R48:S48"/>
    <mergeCell ref="T48:U48"/>
    <mergeCell ref="V48:X49"/>
    <mergeCell ref="Y48:AA49"/>
    <mergeCell ref="A49:G49"/>
    <mergeCell ref="R49:S49"/>
    <mergeCell ref="T49:U49"/>
    <mergeCell ref="A50:Q50"/>
    <mergeCell ref="R50:X50"/>
    <mergeCell ref="Y50:AA50"/>
    <mergeCell ref="A51:Q52"/>
    <mergeCell ref="R51:X51"/>
    <mergeCell ref="Y51:AA51"/>
    <mergeCell ref="R52:X52"/>
    <mergeCell ref="Y52:AA52"/>
    <mergeCell ref="A53:AA53"/>
    <mergeCell ref="A54:AA55"/>
    <mergeCell ref="A56:M56"/>
    <mergeCell ref="N56:AA56"/>
    <mergeCell ref="A57:E57"/>
    <mergeCell ref="F57:M57"/>
    <mergeCell ref="N57:AA57"/>
    <mergeCell ref="A58:E58"/>
    <mergeCell ref="F58:M58"/>
    <mergeCell ref="A59:E59"/>
    <mergeCell ref="F59:I59"/>
    <mergeCell ref="J59:M59"/>
    <mergeCell ref="A61:M62"/>
    <mergeCell ref="N62:AA62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2025-08-10T03:18:53Z</dcterms:created>
  <dcterms:modified xsi:type="dcterms:W3CDTF">2025-08-10T03:18:53Z</dcterms:modified>
</cp:coreProperties>
</file>